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Videos\Excel_Data_Analytics_Course\2_Formulas_Functions\"/>
    </mc:Choice>
  </mc:AlternateContent>
  <xr:revisionPtr revIDLastSave="0" documentId="13_ncr:1_{D5ED37DD-BF70-4578-B7D2-4BBA516D8078}" xr6:coauthVersionLast="36" xr6:coauthVersionMax="47" xr10:uidLastSave="{00000000-0000-0000-0000-000000000000}"/>
  <bookViews>
    <workbookView xWindow="-90" yWindow="-90" windowWidth="18330" windowHeight="1044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8" l="1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X3" i="8" s="1"/>
  <c r="U3" i="8"/>
  <c r="V3" i="8"/>
  <c r="T4" i="8"/>
  <c r="X4" i="8" s="1"/>
  <c r="U4" i="8"/>
  <c r="V4" i="8"/>
  <c r="T5" i="8"/>
  <c r="X5" i="8" s="1"/>
  <c r="U5" i="8"/>
  <c r="V5" i="8"/>
  <c r="T6" i="8"/>
  <c r="X6" i="8" s="1"/>
  <c r="U6" i="8"/>
  <c r="V6" i="8"/>
  <c r="T7" i="8"/>
  <c r="X7" i="8" s="1"/>
  <c r="U7" i="8"/>
  <c r="V7" i="8"/>
  <c r="T8" i="8"/>
  <c r="X8" i="8" s="1"/>
  <c r="U8" i="8"/>
  <c r="V8" i="8"/>
  <c r="T9" i="8"/>
  <c r="X9" i="8" s="1"/>
  <c r="U9" i="8"/>
  <c r="V9" i="8"/>
  <c r="T10" i="8"/>
  <c r="X10" i="8" s="1"/>
  <c r="U10" i="8"/>
  <c r="V10" i="8"/>
  <c r="T11" i="8"/>
  <c r="X11" i="8" s="1"/>
  <c r="U11" i="8"/>
  <c r="V11" i="8"/>
  <c r="T12" i="8"/>
  <c r="X12" i="8" s="1"/>
  <c r="U12" i="8"/>
  <c r="V12" i="8"/>
  <c r="T13" i="8"/>
  <c r="X13" i="8" s="1"/>
  <c r="U13" i="8"/>
  <c r="V13" i="8"/>
  <c r="T14" i="8"/>
  <c r="X14" i="8" s="1"/>
  <c r="U14" i="8"/>
  <c r="V14" i="8"/>
  <c r="T15" i="8"/>
  <c r="X15" i="8" s="1"/>
  <c r="U15" i="8"/>
  <c r="V15" i="8"/>
  <c r="T16" i="8"/>
  <c r="X16" i="8" s="1"/>
  <c r="U16" i="8"/>
  <c r="V16" i="8"/>
  <c r="T17" i="8"/>
  <c r="X17" i="8" s="1"/>
  <c r="U17" i="8"/>
  <c r="V17" i="8"/>
  <c r="T18" i="8"/>
  <c r="X18" i="8" s="1"/>
  <c r="U18" i="8"/>
  <c r="V18" i="8"/>
  <c r="T19" i="8"/>
  <c r="X19" i="8" s="1"/>
  <c r="U19" i="8"/>
  <c r="V19" i="8"/>
  <c r="T20" i="8"/>
  <c r="X20" i="8" s="1"/>
  <c r="U20" i="8"/>
  <c r="V20" i="8"/>
  <c r="T21" i="8"/>
  <c r="X21" i="8" s="1"/>
  <c r="U21" i="8"/>
  <c r="V21" i="8"/>
  <c r="V2" i="8"/>
  <c r="X2" i="8" s="1"/>
  <c r="U2" i="8"/>
  <c r="T2" i="8"/>
  <c r="P2" i="8"/>
  <c r="J3" i="8"/>
  <c r="N3" i="8" s="1"/>
  <c r="K3" i="8"/>
  <c r="L3" i="8"/>
  <c r="J4" i="8"/>
  <c r="N4" i="8" s="1"/>
  <c r="K4" i="8"/>
  <c r="L4" i="8"/>
  <c r="J5" i="8"/>
  <c r="N5" i="8" s="1"/>
  <c r="K5" i="8"/>
  <c r="L5" i="8"/>
  <c r="J6" i="8"/>
  <c r="N6" i="8" s="1"/>
  <c r="K6" i="8"/>
  <c r="L6" i="8"/>
  <c r="J7" i="8"/>
  <c r="N7" i="8" s="1"/>
  <c r="K7" i="8"/>
  <c r="L7" i="8"/>
  <c r="J8" i="8"/>
  <c r="N8" i="8" s="1"/>
  <c r="K8" i="8"/>
  <c r="L8" i="8"/>
  <c r="J9" i="8"/>
  <c r="N9" i="8" s="1"/>
  <c r="K9" i="8"/>
  <c r="L9" i="8"/>
  <c r="J10" i="8"/>
  <c r="N10" i="8" s="1"/>
  <c r="K10" i="8"/>
  <c r="L10" i="8"/>
  <c r="J11" i="8"/>
  <c r="N11" i="8" s="1"/>
  <c r="K11" i="8"/>
  <c r="L11" i="8"/>
  <c r="J12" i="8"/>
  <c r="N12" i="8" s="1"/>
  <c r="K12" i="8"/>
  <c r="L12" i="8"/>
  <c r="J13" i="8"/>
  <c r="N13" i="8" s="1"/>
  <c r="K13" i="8"/>
  <c r="L13" i="8"/>
  <c r="J14" i="8"/>
  <c r="N14" i="8" s="1"/>
  <c r="K14" i="8"/>
  <c r="L14" i="8"/>
  <c r="J15" i="8"/>
  <c r="N15" i="8" s="1"/>
  <c r="K15" i="8"/>
  <c r="L15" i="8"/>
  <c r="J16" i="8"/>
  <c r="N16" i="8" s="1"/>
  <c r="K16" i="8"/>
  <c r="L16" i="8"/>
  <c r="J17" i="8"/>
  <c r="N17" i="8" s="1"/>
  <c r="K17" i="8"/>
  <c r="L17" i="8"/>
  <c r="J18" i="8"/>
  <c r="N18" i="8" s="1"/>
  <c r="K18" i="8"/>
  <c r="L18" i="8"/>
  <c r="J19" i="8"/>
  <c r="N19" i="8" s="1"/>
  <c r="K19" i="8"/>
  <c r="L19" i="8"/>
  <c r="J20" i="8"/>
  <c r="N20" i="8" s="1"/>
  <c r="K20" i="8"/>
  <c r="L20" i="8"/>
  <c r="J21" i="8"/>
  <c r="N21" i="8" s="1"/>
  <c r="K21" i="8"/>
  <c r="L21" i="8"/>
  <c r="K2" i="8"/>
  <c r="L2" i="8"/>
  <c r="J2" i="8"/>
  <c r="N2" i="8" s="1"/>
  <c r="R2" i="8" l="1"/>
  <c r="R18" i="8"/>
  <c r="R10" i="8"/>
  <c r="R21" i="8"/>
  <c r="R13" i="8"/>
  <c r="R5" i="8"/>
  <c r="R20" i="8"/>
  <c r="R16" i="8"/>
  <c r="R12" i="8"/>
  <c r="R8" i="8"/>
  <c r="R4" i="8"/>
  <c r="R14" i="8"/>
  <c r="R6" i="8"/>
  <c r="R17" i="8"/>
  <c r="R9" i="8"/>
  <c r="R19" i="8"/>
  <c r="R15" i="8"/>
  <c r="R11" i="8"/>
  <c r="R7" i="8"/>
  <c r="R3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<sst xmlns="http://schemas.openxmlformats.org/spreadsheetml/2006/main" count="471" uniqueCount="97">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</sst>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</a:t>
            </a:r>
            <a:r>
              <a:rPr lang="en-US" baseline="0"/>
              <a:t> Per Hour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Data!$Z$2:$Z$25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Data!$AA$2:$AA$25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3-44BF-B156-DCD9B5EFC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210959"/>
        <c:axId val="1262125679"/>
      </c:barChart>
      <c:catAx>
        <c:axId val="69621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25679"/>
        <c:crosses val="autoZero"/>
        <c:auto val="1"/>
        <c:lblAlgn val="ctr"/>
        <c:lblOffset val="100"/>
        <c:noMultiLvlLbl val="0"/>
      </c:catAx>
      <c:valAx>
        <c:axId val="126212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21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457200</xdr:colOff>
      <xdr:row>12</xdr:row>
      <xdr:rowOff>109537</xdr:rowOff>
    </xdr:from>
    <xdr:to>
      <xdr:col>35</xdr:col>
      <xdr:colOff>152400</xdr:colOff>
      <xdr:row>26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B6CBD-806D-4697-8662-D144E319B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A25"/>
  <sheetViews>
    <sheetView tabSelected="1" topLeftCell="A10" workbookViewId="0">
      <selection activeCell="AA2" sqref="AA2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10" max="13" width="8.85546875" hidden="1" customWidth="1"/>
    <col min="14" max="14" width="14.140625" hidden="1" customWidth="1"/>
    <col min="15" max="15" width="8.85546875" hidden="1" customWidth="1"/>
    <col min="16" max="16" width="15.42578125" hidden="1" customWidth="1"/>
    <col min="17" max="17" width="8.85546875" hidden="1" customWidth="1"/>
    <col min="18" max="18" width="21.42578125" hidden="1" customWidth="1"/>
    <col min="19" max="23" width="8.85546875" hidden="1" customWidth="1"/>
    <col min="24" max="25" width="14.42578125" hidden="1" customWidth="1"/>
    <col min="26" max="26" width="17.42578125" customWidth="1"/>
  </cols>
  <sheetData>
    <row r="1" spans="1:27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 t="s">
        <v>96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93</v>
      </c>
      <c r="AA1" s="16"/>
    </row>
    <row r="2" spans="1:27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>
        <f>HOUR(D2:D21)</f>
        <v>15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45979</v>
      </c>
      <c r="R2">
        <f ca="1">DATEDIF(N2,$P$2,"D")</f>
        <v>1008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>
        <v>1</v>
      </c>
      <c r="AA2">
        <f>COUNTIF($I$2:$I$21,Z2)</f>
        <v>0</v>
      </c>
    </row>
    <row r="3" spans="1:27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>
        <f t="shared" ref="I3:I21" si="0">HOUR(D3:D22)</f>
        <v>9</v>
      </c>
      <c r="J3">
        <f t="shared" ref="J3:J21" si="1">MONTH(D3)</f>
        <v>5</v>
      </c>
      <c r="K3">
        <f t="shared" ref="K3:K21" si="2">DAY(D3)</f>
        <v>9</v>
      </c>
      <c r="L3">
        <f t="shared" ref="L3:L21" si="3">YEAR(D3)</f>
        <v>2023</v>
      </c>
      <c r="N3" s="9">
        <f t="shared" ref="N3:N21" si="4">DATE(L3,J3,K3)</f>
        <v>45055</v>
      </c>
      <c r="R3">
        <f t="shared" ref="R3:R21" ca="1" si="5">DATEDIF(N3,$P$2,"D")</f>
        <v>924</v>
      </c>
      <c r="T3">
        <f t="shared" ref="T3:T21" si="6">HOUR(D3)</f>
        <v>9</v>
      </c>
      <c r="U3">
        <f t="shared" ref="U3:U21" si="7">MINUTE(D3)</f>
        <v>45</v>
      </c>
      <c r="V3">
        <f t="shared" ref="V3:V21" si="8">SECOND(D3)</f>
        <v>32</v>
      </c>
      <c r="X3" s="13">
        <f t="shared" ref="X3:X21" si="9">TIME(T3,U3,V3)</f>
        <v>0.40662037037037035</v>
      </c>
      <c r="Y3" t="str">
        <f t="shared" ref="Y3:Y21" si="10">TEXT(D3,"HH:MM AM/PM")</f>
        <v>09:45 AM</v>
      </c>
      <c r="Z3">
        <v>2</v>
      </c>
      <c r="AA3">
        <f t="shared" ref="AA3:AA25" si="11">COUNTIF($I$2:$I$21,Z3)</f>
        <v>0</v>
      </c>
    </row>
    <row r="4" spans="1:27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>
        <f t="shared" si="0"/>
        <v>17</v>
      </c>
      <c r="J4">
        <f t="shared" si="1"/>
        <v>7</v>
      </c>
      <c r="K4">
        <f t="shared" si="2"/>
        <v>21</v>
      </c>
      <c r="L4">
        <f t="shared" si="3"/>
        <v>2023</v>
      </c>
      <c r="N4" s="9">
        <f t="shared" si="4"/>
        <v>45128</v>
      </c>
      <c r="R4">
        <f t="shared" ca="1" si="5"/>
        <v>851</v>
      </c>
      <c r="T4">
        <f t="shared" si="6"/>
        <v>17</v>
      </c>
      <c r="U4">
        <f t="shared" si="7"/>
        <v>30</v>
      </c>
      <c r="V4">
        <f t="shared" si="8"/>
        <v>47</v>
      </c>
      <c r="X4" s="13">
        <f t="shared" si="9"/>
        <v>0.72971064814814823</v>
      </c>
      <c r="Y4" t="str">
        <f t="shared" si="10"/>
        <v>05:30 PM</v>
      </c>
      <c r="Z4">
        <v>3</v>
      </c>
      <c r="AA4">
        <f t="shared" si="11"/>
        <v>0</v>
      </c>
    </row>
    <row r="5" spans="1:27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>
        <f t="shared" si="0"/>
        <v>7</v>
      </c>
      <c r="J5">
        <f t="shared" si="1"/>
        <v>9</v>
      </c>
      <c r="K5">
        <f t="shared" si="2"/>
        <v>4</v>
      </c>
      <c r="L5">
        <f t="shared" si="3"/>
        <v>2023</v>
      </c>
      <c r="N5" s="9">
        <f t="shared" si="4"/>
        <v>45173</v>
      </c>
      <c r="R5">
        <f t="shared" ca="1" si="5"/>
        <v>806</v>
      </c>
      <c r="T5">
        <f t="shared" si="6"/>
        <v>7</v>
      </c>
      <c r="U5">
        <f t="shared" si="7"/>
        <v>15</v>
      </c>
      <c r="V5">
        <f t="shared" si="8"/>
        <v>9</v>
      </c>
      <c r="X5" s="13">
        <f t="shared" si="9"/>
        <v>0.3021875</v>
      </c>
      <c r="Y5" t="str">
        <f t="shared" si="10"/>
        <v>07:15 AM</v>
      </c>
      <c r="Z5">
        <v>4</v>
      </c>
      <c r="AA5">
        <f t="shared" si="11"/>
        <v>0</v>
      </c>
    </row>
    <row r="6" spans="1:27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>
        <f t="shared" si="0"/>
        <v>17</v>
      </c>
      <c r="J6">
        <f t="shared" si="1"/>
        <v>11</v>
      </c>
      <c r="K6">
        <f t="shared" si="2"/>
        <v>18</v>
      </c>
      <c r="L6">
        <f t="shared" si="3"/>
        <v>2023</v>
      </c>
      <c r="N6" s="9">
        <f t="shared" si="4"/>
        <v>45248</v>
      </c>
      <c r="R6">
        <f t="shared" ca="1" si="5"/>
        <v>731</v>
      </c>
      <c r="T6">
        <f t="shared" si="6"/>
        <v>17</v>
      </c>
      <c r="U6">
        <f t="shared" si="7"/>
        <v>0</v>
      </c>
      <c r="V6">
        <f t="shared" si="8"/>
        <v>21</v>
      </c>
      <c r="X6" s="13">
        <f t="shared" si="9"/>
        <v>0.70857638888888885</v>
      </c>
      <c r="Y6" t="str">
        <f t="shared" si="10"/>
        <v>05:00 PM</v>
      </c>
      <c r="Z6">
        <v>5</v>
      </c>
      <c r="AA6">
        <f t="shared" si="11"/>
        <v>0</v>
      </c>
    </row>
    <row r="7" spans="1:27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>
        <f t="shared" si="0"/>
        <v>12</v>
      </c>
      <c r="J7">
        <f t="shared" si="1"/>
        <v>1</v>
      </c>
      <c r="K7">
        <f t="shared" si="2"/>
        <v>11</v>
      </c>
      <c r="L7">
        <f t="shared" si="3"/>
        <v>2024</v>
      </c>
      <c r="N7" s="9">
        <f t="shared" si="4"/>
        <v>45302</v>
      </c>
      <c r="R7">
        <f t="shared" ca="1" si="5"/>
        <v>677</v>
      </c>
      <c r="T7">
        <f t="shared" si="6"/>
        <v>12</v>
      </c>
      <c r="U7">
        <f t="shared" si="7"/>
        <v>45</v>
      </c>
      <c r="V7">
        <f t="shared" si="8"/>
        <v>58</v>
      </c>
      <c r="X7" s="13">
        <f t="shared" si="9"/>
        <v>0.53192129629629636</v>
      </c>
      <c r="Y7" t="str">
        <f t="shared" si="10"/>
        <v>12:45 PM</v>
      </c>
      <c r="Z7">
        <v>6</v>
      </c>
      <c r="AA7">
        <f t="shared" si="11"/>
        <v>1</v>
      </c>
    </row>
    <row r="8" spans="1:27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>
        <f t="shared" si="0"/>
        <v>16</v>
      </c>
      <c r="J8">
        <f t="shared" si="1"/>
        <v>3</v>
      </c>
      <c r="K8">
        <f t="shared" si="2"/>
        <v>3</v>
      </c>
      <c r="L8">
        <f t="shared" si="3"/>
        <v>2024</v>
      </c>
      <c r="N8" s="9">
        <f t="shared" si="4"/>
        <v>45354</v>
      </c>
      <c r="R8">
        <f t="shared" ca="1" si="5"/>
        <v>625</v>
      </c>
      <c r="T8">
        <f t="shared" si="6"/>
        <v>16</v>
      </c>
      <c r="U8">
        <f t="shared" si="7"/>
        <v>30</v>
      </c>
      <c r="V8">
        <f t="shared" si="8"/>
        <v>33</v>
      </c>
      <c r="X8" s="13">
        <f t="shared" si="9"/>
        <v>0.68788194444444439</v>
      </c>
      <c r="Y8" t="str">
        <f t="shared" si="10"/>
        <v>04:30 PM</v>
      </c>
      <c r="Z8">
        <v>7</v>
      </c>
      <c r="AA8">
        <f t="shared" si="11"/>
        <v>3</v>
      </c>
    </row>
    <row r="9" spans="1:27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>
        <f t="shared" si="0"/>
        <v>8</v>
      </c>
      <c r="J9">
        <f t="shared" si="1"/>
        <v>4</v>
      </c>
      <c r="K9">
        <f t="shared" si="2"/>
        <v>26</v>
      </c>
      <c r="L9">
        <f t="shared" si="3"/>
        <v>2024</v>
      </c>
      <c r="N9" s="9">
        <f t="shared" si="4"/>
        <v>45408</v>
      </c>
      <c r="R9">
        <f t="shared" ca="1" si="5"/>
        <v>571</v>
      </c>
      <c r="T9">
        <f t="shared" si="6"/>
        <v>8</v>
      </c>
      <c r="U9">
        <f t="shared" si="7"/>
        <v>10</v>
      </c>
      <c r="V9">
        <f t="shared" si="8"/>
        <v>46</v>
      </c>
      <c r="X9" s="13">
        <f t="shared" si="9"/>
        <v>0.34081018518518519</v>
      </c>
      <c r="Y9" t="str">
        <f t="shared" si="10"/>
        <v>08:10 AM</v>
      </c>
      <c r="Z9">
        <v>8</v>
      </c>
      <c r="AA9">
        <f t="shared" si="11"/>
        <v>1</v>
      </c>
    </row>
    <row r="10" spans="1:27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>
        <f t="shared" si="0"/>
        <v>17</v>
      </c>
      <c r="J10">
        <f t="shared" si="1"/>
        <v>6</v>
      </c>
      <c r="K10">
        <f t="shared" si="2"/>
        <v>15</v>
      </c>
      <c r="L10">
        <f t="shared" si="3"/>
        <v>2024</v>
      </c>
      <c r="N10" s="9">
        <f t="shared" si="4"/>
        <v>45458</v>
      </c>
      <c r="R10">
        <f t="shared" ca="1" si="5"/>
        <v>521</v>
      </c>
      <c r="T10">
        <f t="shared" si="6"/>
        <v>17</v>
      </c>
      <c r="U10">
        <f t="shared" si="7"/>
        <v>50</v>
      </c>
      <c r="V10">
        <f t="shared" si="8"/>
        <v>24</v>
      </c>
      <c r="X10" s="13">
        <f t="shared" si="9"/>
        <v>0.74333333333333329</v>
      </c>
      <c r="Y10" t="str">
        <f t="shared" si="10"/>
        <v>05:50 PM</v>
      </c>
      <c r="Z10">
        <v>9</v>
      </c>
      <c r="AA10">
        <f t="shared" si="11"/>
        <v>1</v>
      </c>
    </row>
    <row r="11" spans="1:27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>
        <f t="shared" si="0"/>
        <v>14</v>
      </c>
      <c r="J11">
        <f t="shared" si="1"/>
        <v>7</v>
      </c>
      <c r="K11">
        <f t="shared" si="2"/>
        <v>7</v>
      </c>
      <c r="L11">
        <f t="shared" si="3"/>
        <v>2024</v>
      </c>
      <c r="N11" s="9">
        <f t="shared" si="4"/>
        <v>45480</v>
      </c>
      <c r="R11">
        <f t="shared" ca="1" si="5"/>
        <v>499</v>
      </c>
      <c r="T11">
        <f t="shared" si="6"/>
        <v>14</v>
      </c>
      <c r="U11">
        <f t="shared" si="7"/>
        <v>35</v>
      </c>
      <c r="V11">
        <f t="shared" si="8"/>
        <v>36</v>
      </c>
      <c r="X11" s="13">
        <f t="shared" si="9"/>
        <v>0.60805555555555557</v>
      </c>
      <c r="Y11" t="str">
        <f t="shared" si="10"/>
        <v>02:35 PM</v>
      </c>
      <c r="Z11">
        <v>10</v>
      </c>
      <c r="AA11">
        <f t="shared" si="11"/>
        <v>1</v>
      </c>
    </row>
    <row r="12" spans="1:27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>
        <f t="shared" si="0"/>
        <v>6</v>
      </c>
      <c r="J12">
        <f t="shared" si="1"/>
        <v>6</v>
      </c>
      <c r="K12">
        <f t="shared" si="2"/>
        <v>12</v>
      </c>
      <c r="L12">
        <f t="shared" si="3"/>
        <v>2024</v>
      </c>
      <c r="N12" s="9">
        <f t="shared" si="4"/>
        <v>45455</v>
      </c>
      <c r="R12">
        <f t="shared" ca="1" si="5"/>
        <v>524</v>
      </c>
      <c r="T12">
        <f t="shared" si="6"/>
        <v>6</v>
      </c>
      <c r="U12">
        <f t="shared" si="7"/>
        <v>50</v>
      </c>
      <c r="V12">
        <f t="shared" si="8"/>
        <v>18</v>
      </c>
      <c r="X12" s="13">
        <f t="shared" si="9"/>
        <v>0.28493055555555552</v>
      </c>
      <c r="Y12" t="str">
        <f t="shared" si="10"/>
        <v>06:50 AM</v>
      </c>
      <c r="Z12">
        <v>11</v>
      </c>
      <c r="AA12">
        <f t="shared" si="11"/>
        <v>1</v>
      </c>
    </row>
    <row r="13" spans="1:27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>
        <f t="shared" si="0"/>
        <v>13</v>
      </c>
      <c r="J13">
        <f t="shared" si="1"/>
        <v>1</v>
      </c>
      <c r="K13">
        <f t="shared" si="2"/>
        <v>25</v>
      </c>
      <c r="L13">
        <f t="shared" si="3"/>
        <v>2023</v>
      </c>
      <c r="N13" s="9">
        <f t="shared" si="4"/>
        <v>44951</v>
      </c>
      <c r="R13">
        <f t="shared" ca="1" si="5"/>
        <v>1028</v>
      </c>
      <c r="T13">
        <f t="shared" si="6"/>
        <v>13</v>
      </c>
      <c r="U13">
        <f t="shared" si="7"/>
        <v>15</v>
      </c>
      <c r="V13">
        <f t="shared" si="8"/>
        <v>5</v>
      </c>
      <c r="X13" s="13">
        <f t="shared" si="9"/>
        <v>0.55214120370370368</v>
      </c>
      <c r="Y13" t="str">
        <f t="shared" si="10"/>
        <v>01:15 PM</v>
      </c>
      <c r="Z13">
        <v>12</v>
      </c>
      <c r="AA13">
        <f t="shared" si="11"/>
        <v>1</v>
      </c>
    </row>
    <row r="14" spans="1:27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>
        <f t="shared" si="0"/>
        <v>11</v>
      </c>
      <c r="J14">
        <f t="shared" si="1"/>
        <v>3</v>
      </c>
      <c r="K14">
        <f t="shared" si="2"/>
        <v>17</v>
      </c>
      <c r="L14">
        <f t="shared" si="3"/>
        <v>2023</v>
      </c>
      <c r="N14" s="9">
        <f t="shared" si="4"/>
        <v>45002</v>
      </c>
      <c r="R14">
        <f t="shared" ca="1" si="5"/>
        <v>977</v>
      </c>
      <c r="T14">
        <f t="shared" si="6"/>
        <v>11</v>
      </c>
      <c r="U14">
        <f t="shared" si="7"/>
        <v>45</v>
      </c>
      <c r="V14">
        <f t="shared" si="8"/>
        <v>39</v>
      </c>
      <c r="X14" s="13">
        <f t="shared" si="9"/>
        <v>0.49003472222222227</v>
      </c>
      <c r="Y14" t="str">
        <f t="shared" si="10"/>
        <v>11:45 AM</v>
      </c>
      <c r="Z14">
        <v>13</v>
      </c>
      <c r="AA14">
        <f t="shared" si="11"/>
        <v>1</v>
      </c>
    </row>
    <row r="15" spans="1:27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>
        <f t="shared" si="0"/>
        <v>10</v>
      </c>
      <c r="J15">
        <f t="shared" si="1"/>
        <v>6</v>
      </c>
      <c r="K15">
        <f t="shared" si="2"/>
        <v>1</v>
      </c>
      <c r="L15">
        <f t="shared" si="3"/>
        <v>2023</v>
      </c>
      <c r="N15" s="9">
        <f t="shared" si="4"/>
        <v>45078</v>
      </c>
      <c r="R15">
        <f t="shared" ca="1" si="5"/>
        <v>901</v>
      </c>
      <c r="T15">
        <f t="shared" si="6"/>
        <v>10</v>
      </c>
      <c r="U15">
        <f t="shared" si="7"/>
        <v>0</v>
      </c>
      <c r="V15">
        <f t="shared" si="8"/>
        <v>51</v>
      </c>
      <c r="X15" s="13">
        <f t="shared" si="9"/>
        <v>0.41725694444444444</v>
      </c>
      <c r="Y15" t="str">
        <f t="shared" si="10"/>
        <v>10:00 AM</v>
      </c>
      <c r="Z15">
        <v>14</v>
      </c>
      <c r="AA15">
        <f t="shared" si="11"/>
        <v>1</v>
      </c>
    </row>
    <row r="16" spans="1:27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>
        <f t="shared" si="0"/>
        <v>17</v>
      </c>
      <c r="J16">
        <f t="shared" si="1"/>
        <v>8</v>
      </c>
      <c r="K16">
        <f t="shared" si="2"/>
        <v>30</v>
      </c>
      <c r="L16">
        <f t="shared" si="3"/>
        <v>2023</v>
      </c>
      <c r="N16" s="9">
        <f t="shared" si="4"/>
        <v>45168</v>
      </c>
      <c r="R16">
        <f t="shared" ca="1" si="5"/>
        <v>811</v>
      </c>
      <c r="T16">
        <f t="shared" si="6"/>
        <v>17</v>
      </c>
      <c r="U16">
        <f t="shared" si="7"/>
        <v>30</v>
      </c>
      <c r="V16">
        <f t="shared" si="8"/>
        <v>14</v>
      </c>
      <c r="X16" s="13">
        <f t="shared" si="9"/>
        <v>0.72932870370370362</v>
      </c>
      <c r="Y16" t="str">
        <f t="shared" si="10"/>
        <v>05:30 PM</v>
      </c>
      <c r="Z16">
        <v>15</v>
      </c>
      <c r="AA16">
        <f t="shared" si="11"/>
        <v>1</v>
      </c>
    </row>
    <row r="17" spans="1:27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>
        <f t="shared" si="0"/>
        <v>7</v>
      </c>
      <c r="J17">
        <f t="shared" si="1"/>
        <v>10</v>
      </c>
      <c r="K17">
        <f t="shared" si="2"/>
        <v>19</v>
      </c>
      <c r="L17">
        <f t="shared" si="3"/>
        <v>2023</v>
      </c>
      <c r="N17" s="9">
        <f t="shared" si="4"/>
        <v>45218</v>
      </c>
      <c r="R17">
        <f t="shared" ca="1" si="5"/>
        <v>761</v>
      </c>
      <c r="T17">
        <f t="shared" si="6"/>
        <v>7</v>
      </c>
      <c r="U17">
        <f t="shared" si="7"/>
        <v>40</v>
      </c>
      <c r="V17">
        <f t="shared" si="8"/>
        <v>29</v>
      </c>
      <c r="X17" s="13">
        <f t="shared" si="9"/>
        <v>0.3197800925925926</v>
      </c>
      <c r="Y17" t="str">
        <f t="shared" si="10"/>
        <v>07:40 AM</v>
      </c>
      <c r="Z17">
        <v>16</v>
      </c>
      <c r="AA17">
        <f t="shared" si="11"/>
        <v>1</v>
      </c>
    </row>
    <row r="18" spans="1:27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>
        <f t="shared" si="0"/>
        <v>17</v>
      </c>
      <c r="J18">
        <f t="shared" si="1"/>
        <v>2</v>
      </c>
      <c r="K18">
        <f t="shared" si="2"/>
        <v>28</v>
      </c>
      <c r="L18">
        <f t="shared" si="3"/>
        <v>2024</v>
      </c>
      <c r="N18" s="9">
        <f t="shared" si="4"/>
        <v>45350</v>
      </c>
      <c r="R18">
        <f t="shared" ca="1" si="5"/>
        <v>629</v>
      </c>
      <c r="T18">
        <f t="shared" si="6"/>
        <v>17</v>
      </c>
      <c r="U18">
        <f t="shared" si="7"/>
        <v>15</v>
      </c>
      <c r="V18">
        <f t="shared" si="8"/>
        <v>42</v>
      </c>
      <c r="X18" s="13">
        <f t="shared" si="9"/>
        <v>0.71923611111111108</v>
      </c>
      <c r="Y18" t="str">
        <f t="shared" si="10"/>
        <v>05:15 PM</v>
      </c>
      <c r="Z18">
        <v>17</v>
      </c>
      <c r="AA18">
        <f t="shared" si="11"/>
        <v>7</v>
      </c>
    </row>
    <row r="19" spans="1:27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>
        <f t="shared" si="0"/>
        <v>17</v>
      </c>
      <c r="J19">
        <f t="shared" si="1"/>
        <v>5</v>
      </c>
      <c r="K19">
        <f t="shared" si="2"/>
        <v>6</v>
      </c>
      <c r="L19">
        <f t="shared" si="3"/>
        <v>2024</v>
      </c>
      <c r="N19" s="9">
        <f t="shared" si="4"/>
        <v>45418</v>
      </c>
      <c r="R19">
        <f t="shared" ca="1" si="5"/>
        <v>561</v>
      </c>
      <c r="T19">
        <f t="shared" si="6"/>
        <v>17</v>
      </c>
      <c r="U19">
        <f t="shared" si="7"/>
        <v>25</v>
      </c>
      <c r="V19">
        <f t="shared" si="8"/>
        <v>57</v>
      </c>
      <c r="X19" s="13">
        <f t="shared" si="9"/>
        <v>0.72635416666666675</v>
      </c>
      <c r="Y19" t="str">
        <f t="shared" si="10"/>
        <v>05:25 PM</v>
      </c>
      <c r="Z19">
        <v>18</v>
      </c>
      <c r="AA19">
        <f t="shared" si="11"/>
        <v>0</v>
      </c>
    </row>
    <row r="20" spans="1:27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>
        <f t="shared" si="0"/>
        <v>7</v>
      </c>
      <c r="J20">
        <f t="shared" si="1"/>
        <v>7</v>
      </c>
      <c r="K20">
        <f t="shared" si="2"/>
        <v>23</v>
      </c>
      <c r="L20">
        <f t="shared" si="3"/>
        <v>2024</v>
      </c>
      <c r="N20" s="9">
        <f t="shared" si="4"/>
        <v>45496</v>
      </c>
      <c r="R20">
        <f t="shared" ca="1" si="5"/>
        <v>483</v>
      </c>
      <c r="T20">
        <f t="shared" si="6"/>
        <v>7</v>
      </c>
      <c r="U20">
        <f t="shared" si="7"/>
        <v>0</v>
      </c>
      <c r="V20">
        <f t="shared" si="8"/>
        <v>3</v>
      </c>
      <c r="X20" s="13">
        <f t="shared" si="9"/>
        <v>0.29170138888888891</v>
      </c>
      <c r="Y20" t="str">
        <f t="shared" si="10"/>
        <v>07:00 AM</v>
      </c>
      <c r="Z20">
        <v>19</v>
      </c>
      <c r="AA20">
        <f t="shared" si="11"/>
        <v>0</v>
      </c>
    </row>
    <row r="21" spans="1:27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>
        <f t="shared" si="0"/>
        <v>17</v>
      </c>
      <c r="J21">
        <f t="shared" si="1"/>
        <v>5</v>
      </c>
      <c r="K21">
        <f t="shared" si="2"/>
        <v>10</v>
      </c>
      <c r="L21">
        <f t="shared" si="3"/>
        <v>2024</v>
      </c>
      <c r="N21" s="9">
        <f t="shared" si="4"/>
        <v>45422</v>
      </c>
      <c r="R21">
        <f t="shared" ca="1" si="5"/>
        <v>557</v>
      </c>
      <c r="T21">
        <f t="shared" si="6"/>
        <v>17</v>
      </c>
      <c r="U21">
        <f t="shared" si="7"/>
        <v>45</v>
      </c>
      <c r="V21">
        <f t="shared" si="8"/>
        <v>26</v>
      </c>
      <c r="X21" s="13">
        <f t="shared" si="9"/>
        <v>0.73988425925925927</v>
      </c>
      <c r="Y21" t="str">
        <f t="shared" si="10"/>
        <v>05:45 PM</v>
      </c>
      <c r="Z21">
        <v>20</v>
      </c>
      <c r="AA21">
        <f t="shared" si="11"/>
        <v>0</v>
      </c>
    </row>
    <row r="22" spans="1:27" x14ac:dyDescent="0.25">
      <c r="Z22">
        <v>21</v>
      </c>
      <c r="AA22">
        <f t="shared" si="11"/>
        <v>0</v>
      </c>
    </row>
    <row r="23" spans="1:27" x14ac:dyDescent="0.25">
      <c r="Z23">
        <v>22</v>
      </c>
      <c r="AA23">
        <f t="shared" si="11"/>
        <v>0</v>
      </c>
    </row>
    <row r="24" spans="1:27" x14ac:dyDescent="0.25">
      <c r="Z24">
        <v>23</v>
      </c>
      <c r="AA24">
        <f t="shared" si="11"/>
        <v>0</v>
      </c>
    </row>
    <row r="25" spans="1:27" x14ac:dyDescent="0.25">
      <c r="Z25">
        <v>24</v>
      </c>
      <c r="AA25">
        <f t="shared" si="11"/>
        <v>0</v>
      </c>
    </row>
  </sheetData>
  <sortState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P1" sqref="P1:P1048576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11.140625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45979</v>
      </c>
      <c r="R2">
        <f ca="1">DATEDIF(D2,$P$2,"D")</f>
        <v>1008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924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851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806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731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677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625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571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521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499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524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1028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977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901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811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761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629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561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483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USER</cp:lastModifiedBy>
  <dcterms:created xsi:type="dcterms:W3CDTF">2015-06-05T18:17:20Z</dcterms:created>
  <dcterms:modified xsi:type="dcterms:W3CDTF">2025-11-18T13:57:33Z</dcterms:modified>
</cp:coreProperties>
</file>