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Videos\Excel_Data_Analytics_Course\2_Formulas_Functions\"/>
    </mc:Choice>
  </mc:AlternateContent>
  <xr:revisionPtr revIDLastSave="0" documentId="13_ncr:1_{D5BC6F9B-10BA-44E5-9AF3-398ADB0DD0A4}" xr6:coauthVersionLast="36" xr6:coauthVersionMax="47" xr10:uidLastSave="{00000000-0000-0000-0000-000000000000}"/>
  <bookViews>
    <workbookView xWindow="-105" yWindow="1485" windowWidth="18375" windowHeight="10290" activeTab="2" xr2:uid="{8CC555B5-3E06-43B6-9E5B-C0A1D3498DA4}"/>
  </bookViews>
  <sheets>
    <sheet name="Data_1" sheetId="7" r:id="rId1"/>
    <sheet name="Final_1" sheetId="9" r:id="rId2"/>
    <sheet name="Data_2" sheetId="10" r:id="rId3"/>
    <sheet name="Final_2" sheetId="11" r:id="rId4"/>
    <sheet name="Errors" sheetId="8" r:id="rId5"/>
    <sheet name="And-Or" sheetId="12" r:id="rId6"/>
  </sheets>
  <definedNames>
    <definedName name="_xlnm._FilterDatabase" localSheetId="1" hidden="1">Final_1!$B$2:$Q$12</definedName>
    <definedName name="_xlnm._FilterDatabase" localSheetId="3" hidden="1">Final_2!$1:$1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3" i="10" l="1"/>
  <c r="R4" i="10"/>
  <c r="R5" i="10"/>
  <c r="R6" i="10"/>
  <c r="R7" i="10"/>
  <c r="R8" i="10"/>
  <c r="R9" i="10"/>
  <c r="R10" i="10"/>
  <c r="R11" i="10"/>
  <c r="R12" i="10"/>
  <c r="R13" i="10"/>
  <c r="R14" i="10"/>
  <c r="R15" i="10"/>
  <c r="R16" i="10"/>
  <c r="R17" i="10"/>
  <c r="R18" i="10"/>
  <c r="R19" i="10"/>
  <c r="R20" i="10"/>
  <c r="R21" i="10"/>
  <c r="R2" i="10"/>
  <c r="R2" i="11"/>
  <c r="Q3" i="10"/>
  <c r="Q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P2" i="10"/>
  <c r="Q2" i="10"/>
  <c r="O4" i="10"/>
  <c r="O2" i="10"/>
  <c r="N2" i="10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O3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N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M2" i="10" l="1"/>
  <c r="K2" i="10"/>
  <c r="M20" i="10"/>
  <c r="M21" i="10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L2" i="10"/>
  <c r="L21" i="10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K18" i="10"/>
  <c r="K19" i="10"/>
  <c r="K20" i="10"/>
  <c r="K21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M2" i="11" l="1"/>
  <c r="XFD1" i="11"/>
  <c r="F4" i="8"/>
  <c r="F5" i="8"/>
  <c r="F7" i="8"/>
  <c r="F8" i="8"/>
  <c r="F9" i="8"/>
  <c r="F3" i="8"/>
  <c r="E4" i="8"/>
  <c r="E5" i="8"/>
  <c r="E7" i="8"/>
  <c r="E8" i="8"/>
  <c r="E9" i="8"/>
  <c r="E3" i="8"/>
  <c r="D4" i="12"/>
  <c r="E4" i="12"/>
  <c r="D5" i="12"/>
  <c r="E5" i="12"/>
  <c r="D6" i="12"/>
  <c r="E6" i="12"/>
  <c r="E3" i="12"/>
  <c r="D3" i="12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" i="11"/>
  <c r="O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R3" i="11" a="1"/>
  <c r="R3" i="11" s="1"/>
  <c r="R4" i="11" a="1"/>
  <c r="R4" i="11" s="1"/>
  <c r="R5" i="11" a="1"/>
  <c r="R5" i="11" s="1"/>
  <c r="R6" i="11" a="1"/>
  <c r="R6" i="11" s="1"/>
  <c r="R7" i="11" a="1"/>
  <c r="R7" i="11" s="1"/>
  <c r="R8" i="11" a="1"/>
  <c r="R8" i="11" s="1"/>
  <c r="R9" i="11" a="1"/>
  <c r="R9" i="11" s="1"/>
  <c r="R10" i="11" a="1"/>
  <c r="R10" i="11" s="1"/>
  <c r="R11" i="11" a="1"/>
  <c r="R11" i="11"/>
  <c r="R12" i="11" a="1"/>
  <c r="R12" i="11" s="1"/>
  <c r="R13" i="11" a="1"/>
  <c r="R13" i="11" s="1"/>
  <c r="R14" i="11" a="1"/>
  <c r="R14" i="11" s="1"/>
  <c r="R15" i="11" a="1"/>
  <c r="R15" i="11" s="1"/>
  <c r="R16" i="11" a="1"/>
  <c r="R16" i="11" s="1"/>
  <c r="R17" i="11" a="1"/>
  <c r="R17" i="11" s="1"/>
  <c r="R18" i="11" a="1"/>
  <c r="R18" i="11" s="1"/>
  <c r="R19" i="11" a="1"/>
  <c r="R19" i="11"/>
  <c r="R20" i="11" a="1"/>
  <c r="R20" i="11" s="1"/>
  <c r="R21" i="11" a="1"/>
  <c r="R21" i="11" s="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" i="11"/>
  <c r="L12" i="9"/>
  <c r="K12" i="9"/>
  <c r="H12" i="9"/>
  <c r="I12" i="9" s="1"/>
  <c r="G12" i="9"/>
  <c r="M12" i="9" s="1"/>
  <c r="F12" i="9"/>
  <c r="L11" i="9"/>
  <c r="K11" i="9"/>
  <c r="H11" i="9"/>
  <c r="I11" i="9" s="1"/>
  <c r="G11" i="9"/>
  <c r="M11" i="9" s="1"/>
  <c r="F11" i="9"/>
  <c r="L10" i="9"/>
  <c r="K10" i="9"/>
  <c r="H10" i="9"/>
  <c r="I10" i="9" s="1"/>
  <c r="G10" i="9"/>
  <c r="F10" i="9"/>
  <c r="L9" i="9"/>
  <c r="K9" i="9"/>
  <c r="H9" i="9"/>
  <c r="I9" i="9" s="1"/>
  <c r="G9" i="9"/>
  <c r="M9" i="9" s="1"/>
  <c r="F9" i="9"/>
  <c r="L8" i="9"/>
  <c r="K8" i="9"/>
  <c r="H8" i="9"/>
  <c r="I8" i="9" s="1"/>
  <c r="G8" i="9"/>
  <c r="M8" i="9" s="1"/>
  <c r="F8" i="9"/>
  <c r="L7" i="9"/>
  <c r="K7" i="9"/>
  <c r="H7" i="9"/>
  <c r="I7" i="9" s="1"/>
  <c r="G7" i="9"/>
  <c r="M7" i="9" s="1"/>
  <c r="F7" i="9"/>
  <c r="L6" i="9"/>
  <c r="K6" i="9"/>
  <c r="H6" i="9"/>
  <c r="I6" i="9" s="1"/>
  <c r="G6" i="9"/>
  <c r="M6" i="9" s="1"/>
  <c r="F6" i="9"/>
  <c r="L5" i="9"/>
  <c r="K5" i="9"/>
  <c r="H5" i="9"/>
  <c r="I5" i="9" s="1"/>
  <c r="G5" i="9"/>
  <c r="F5" i="9"/>
  <c r="L4" i="9"/>
  <c r="P4" i="9" s="1"/>
  <c r="Q4" i="9" s="1"/>
  <c r="K4" i="9"/>
  <c r="H4" i="9"/>
  <c r="I4" i="9" s="1"/>
  <c r="G4" i="9"/>
  <c r="M4" i="9" s="1"/>
  <c r="F4" i="9"/>
  <c r="L3" i="9"/>
  <c r="K3" i="9"/>
  <c r="H3" i="9"/>
  <c r="I3" i="9" s="1"/>
  <c r="G3" i="9"/>
  <c r="M3" i="9" s="1"/>
  <c r="F3" i="9"/>
  <c r="B9" i="8"/>
  <c r="B4" i="8"/>
  <c r="B6" i="8" a="1"/>
  <c r="B6" i="8" s="1"/>
  <c r="E6" i="8" s="1"/>
  <c r="B7" i="8"/>
  <c r="B5" i="8"/>
  <c r="B8" i="8"/>
  <c r="B3" i="8"/>
  <c r="L12" i="7"/>
  <c r="K12" i="7"/>
  <c r="H12" i="7"/>
  <c r="I12" i="7" s="1"/>
  <c r="G12" i="7"/>
  <c r="M12" i="7" s="1"/>
  <c r="F12" i="7"/>
  <c r="L11" i="7"/>
  <c r="K11" i="7"/>
  <c r="H11" i="7"/>
  <c r="I11" i="7" s="1"/>
  <c r="J11" i="7" s="1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F9" i="7"/>
  <c r="L8" i="7"/>
  <c r="K8" i="7"/>
  <c r="H8" i="7"/>
  <c r="I8" i="7" s="1"/>
  <c r="J8" i="7" s="1"/>
  <c r="G8" i="7"/>
  <c r="M8" i="7" s="1"/>
  <c r="F8" i="7"/>
  <c r="L7" i="7"/>
  <c r="K7" i="7"/>
  <c r="H7" i="7"/>
  <c r="I7" i="7" s="1"/>
  <c r="G7" i="7"/>
  <c r="M7" i="7" s="1"/>
  <c r="F7" i="7"/>
  <c r="L6" i="7"/>
  <c r="K6" i="7"/>
  <c r="H6" i="7"/>
  <c r="I6" i="7" s="1"/>
  <c r="G6" i="7"/>
  <c r="M6" i="7" s="1"/>
  <c r="F6" i="7"/>
  <c r="L5" i="7"/>
  <c r="K5" i="7"/>
  <c r="H5" i="7"/>
  <c r="I5" i="7" s="1"/>
  <c r="J5" i="7" s="1"/>
  <c r="G5" i="7"/>
  <c r="M5" i="7" s="1"/>
  <c r="F5" i="7"/>
  <c r="L4" i="7"/>
  <c r="K4" i="7"/>
  <c r="H4" i="7"/>
  <c r="I4" i="7" s="1"/>
  <c r="G4" i="7"/>
  <c r="F4" i="7"/>
  <c r="L3" i="7"/>
  <c r="P3" i="7" s="1"/>
  <c r="K3" i="7"/>
  <c r="H3" i="7"/>
  <c r="I3" i="7" s="1"/>
  <c r="G3" i="7"/>
  <c r="M3" i="7" s="1"/>
  <c r="F3" i="7"/>
  <c r="F6" i="8" l="1"/>
  <c r="P9" i="7"/>
  <c r="P8" i="7"/>
  <c r="P11" i="7"/>
  <c r="P12" i="7"/>
  <c r="P5" i="7"/>
  <c r="P7" i="7"/>
  <c r="J4" i="7"/>
  <c r="P6" i="7"/>
  <c r="J8" i="9"/>
  <c r="J7" i="9"/>
  <c r="J5" i="9"/>
  <c r="N8" i="9"/>
  <c r="J10" i="9"/>
  <c r="J6" i="9"/>
  <c r="M10" i="9"/>
  <c r="P10" i="9" s="1"/>
  <c r="Q10" i="9" s="1"/>
  <c r="N7" i="9"/>
  <c r="J12" i="9"/>
  <c r="M5" i="9"/>
  <c r="P5" i="9" s="1"/>
  <c r="Q5" i="9" s="1"/>
  <c r="P8" i="9"/>
  <c r="Q8" i="9" s="1"/>
  <c r="O3" i="9"/>
  <c r="P7" i="9"/>
  <c r="Q7" i="9" s="1"/>
  <c r="O7" i="9"/>
  <c r="N6" i="9"/>
  <c r="P6" i="9"/>
  <c r="Q6" i="9" s="1"/>
  <c r="O6" i="9"/>
  <c r="O9" i="9"/>
  <c r="N12" i="9"/>
  <c r="P12" i="9"/>
  <c r="Q12" i="9" s="1"/>
  <c r="O12" i="9"/>
  <c r="P11" i="9"/>
  <c r="Q11" i="9" s="1"/>
  <c r="N11" i="9"/>
  <c r="O11" i="9"/>
  <c r="O4" i="9"/>
  <c r="J4" i="9"/>
  <c r="J3" i="9"/>
  <c r="P3" i="9"/>
  <c r="Q3" i="9" s="1"/>
  <c r="O8" i="9"/>
  <c r="J9" i="9"/>
  <c r="P9" i="9"/>
  <c r="Q9" i="9" s="1"/>
  <c r="N4" i="9"/>
  <c r="N3" i="9"/>
  <c r="N9" i="9"/>
  <c r="J11" i="9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P10" i="7" s="1"/>
  <c r="N6" i="7"/>
  <c r="J7" i="7"/>
  <c r="N9" i="7"/>
  <c r="N12" i="7"/>
  <c r="N3" i="7"/>
  <c r="O5" i="9" l="1"/>
  <c r="O10" i="9"/>
  <c r="N10" i="9"/>
  <c r="N5" i="9"/>
  <c r="O10" i="7"/>
  <c r="N10" i="7"/>
  <c r="O4" i="7"/>
  <c r="N4" i="7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<sst xmlns="http://schemas.openxmlformats.org/spreadsheetml/2006/main" count="395" uniqueCount="144">
  <si>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</si>
  <si>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</si>
  <si>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</si>
  <si>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</si>
  <si>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</si>
  <si>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</si>
  <si>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</si>
  <si>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</si>
  <si>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</si>
  <si>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</si>
  <si>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</si>
  <si>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</si>
  <si>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</si>
  <si>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</si>
  <si>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</si>
  <si>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</si>
  <si>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</si>
  <si>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</si>
  <si>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</si>
  <si>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</si>
  <si>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</si>
  <si>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</si>
  <si>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</si>
  <si>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</si>
  <si>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</si>
  <si>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</si>
  <si>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</si>
  <si>
    <t>Meets Both - Formula Only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</si>
  <si>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</si>
  <si>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</si>
  <si>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</si>
  <si>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</si>
  <si>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</si>
  <si>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</si>
  <si>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</si>
  <si>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</si>
  <si>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</si>
  <si>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</si>
  <si>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</si>
  <si>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</si>
  <si>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</si>
  <si>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</si>
  <si>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</si>
  <si>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</si>
  <si>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</si>
  <si>
    <t>Meets Goals</t>
  </si>
  <si>
    <t>job_title_short</t>
  </si>
  <si>
    <t>job_posted_date</t>
  </si>
  <si>
    <t>job_location</t>
  </si>
  <si>
    <t>job_country</t>
  </si>
  <si>
    <t>company_name</t>
  </si>
  <si>
    <t>job_via</t>
  </si>
  <si>
    <t>job_schedule_type</t>
  </si>
  <si>
    <t>salary_year_avg</t>
  </si>
  <si>
    <t>job_work_from_home</t>
  </si>
  <si>
    <t>job_skills</t>
  </si>
  <si>
    <t>Senior Data Engineer</t>
  </si>
  <si>
    <t>Aliso Viejo, CA</t>
  </si>
  <si>
    <t>United States</t>
  </si>
  <si>
    <t>Adroit Worldwide Media, Inc. (AWM Smart Shelf)</t>
  </si>
  <si>
    <t>via ZipRecruiter</t>
  </si>
  <si>
    <t>Full-time</t>
  </si>
  <si>
    <t>['sql', 'python', 'gcp', 'power bi', 'tableau']</t>
  </si>
  <si>
    <t>Anywhere</t>
  </si>
  <si>
    <t>Malta</t>
  </si>
  <si>
    <t>Jobmatchingpartner Ltd</t>
  </si>
  <si>
    <t>via LinkedIn Malta</t>
  </si>
  <si>
    <t>Contractor</t>
  </si>
  <si>
    <t>['sql', 'r', 'python', 'hadoop', 'spark', 'looker']</t>
  </si>
  <si>
    <t>Reston, VA</t>
  </si>
  <si>
    <t>Octo Consulting Group</t>
  </si>
  <si>
    <t>via Snagajob</t>
  </si>
  <si>
    <t>['sql', 'power bi']</t>
  </si>
  <si>
    <t>Cupertino, CA</t>
  </si>
  <si>
    <t>Apple</t>
  </si>
  <si>
    <t>['sql', 'python', 'r']</t>
  </si>
  <si>
    <t>Senior Data Analyst</t>
  </si>
  <si>
    <t>Rochester, MN</t>
  </si>
  <si>
    <t>Sudan</t>
  </si>
  <si>
    <t>Securian Financial Group</t>
  </si>
  <si>
    <t>['sql', 'aws', 'tableau', 'flow']</t>
  </si>
  <si>
    <t>Des Moines, IA</t>
  </si>
  <si>
    <t>EMC Insurance Companies</t>
  </si>
  <si>
    <t>Full-time and Part-time</t>
  </si>
  <si>
    <t>['r', 'python', 'sql', 'hadoop']</t>
  </si>
  <si>
    <t>Atlanta, GA</t>
  </si>
  <si>
    <t>The E Group</t>
  </si>
  <si>
    <t>['sql', 'python', 'r', 'sql server', 'mysql', 'oracle', 'spss']</t>
  </si>
  <si>
    <t>Jacksonville, FL</t>
  </si>
  <si>
    <t>Okaya Corp</t>
  </si>
  <si>
    <t>via Indeed</t>
  </si>
  <si>
    <t>['power bi']</t>
  </si>
  <si>
    <t>Dublin, CA</t>
  </si>
  <si>
    <t>NextPhase</t>
  </si>
  <si>
    <t>['sql', 'python', 'r', 'snowflake', 'oracle', 'tableau']</t>
  </si>
  <si>
    <t>Charlotte, NC</t>
  </si>
  <si>
    <t>Insight Global</t>
  </si>
  <si>
    <t>via LinkedIn</t>
  </si>
  <si>
    <t>['sql', 'python', 'r', 'power bi']</t>
  </si>
  <si>
    <t>Sunnyvale, CA</t>
  </si>
  <si>
    <t>Walmart</t>
  </si>
  <si>
    <t>['python', 'scala', 'r', 'spark', 'tensorflow']</t>
  </si>
  <si>
    <t>Senior Data Scientist</t>
  </si>
  <si>
    <t>Pasadena, CA</t>
  </si>
  <si>
    <t>Harnham</t>
  </si>
  <si>
    <t>['python', 'sql', 'git']</t>
  </si>
  <si>
    <t>Houston, TX</t>
  </si>
  <si>
    <t>Stripe</t>
  </si>
  <si>
    <t>via IT JobServe</t>
  </si>
  <si>
    <t>['python', 'sql', 'spark']</t>
  </si>
  <si>
    <t>Johannesburg, South Africa</t>
  </si>
  <si>
    <t>South Africa</t>
  </si>
  <si>
    <t>Standard Bank Group</t>
  </si>
  <si>
    <t>via Ai-Jobs.net</t>
  </si>
  <si>
    <t>['sql', 'python', 'c#', 'java', 'c++', 'html', 'sas', 'sas', 'r', 'tableau', 'power bi', 'spss', 'qlik']</t>
  </si>
  <si>
    <t>Berlin, Germany</t>
  </si>
  <si>
    <t>Germany</t>
  </si>
  <si>
    <t>Vattenfall</t>
  </si>
  <si>
    <t>['python', 'azure']</t>
  </si>
  <si>
    <t>Amsterdam, Netherlands</t>
  </si>
  <si>
    <t>Netherlands</t>
  </si>
  <si>
    <t>Devoteam</t>
  </si>
  <si>
    <t>['sql', 'gcp', 'unix', 'docker']</t>
  </si>
  <si>
    <t>Business Analyst</t>
  </si>
  <si>
    <t>Dallas, TX</t>
  </si>
  <si>
    <t>DISYS</t>
  </si>
  <si>
    <t>['sql', 'html', 'sql server', 'oracle', 'snowflake', 'power bi', 'sharepoint', 'dax', 'excel', 'jira']</t>
  </si>
  <si>
    <t>Broomfield, CO</t>
  </si>
  <si>
    <t>Datalab USA</t>
  </si>
  <si>
    <t>['sql', 'r', 'python', 'tableau', 'excel']</t>
  </si>
  <si>
    <t>Fortira Inc.</t>
  </si>
  <si>
    <t>['sql', 'sas', 'sas', 'r', 'python', 'snowflake', 'hadoop']</t>
  </si>
  <si>
    <t>Palo Alto, CA</t>
  </si>
  <si>
    <t>Denodo Technologies</t>
  </si>
  <si>
    <t>via Ladders</t>
  </si>
  <si>
    <t>['power bi', 'excel', 'powerpoint', 'flow']</t>
  </si>
  <si>
    <t>Both Roles</t>
  </si>
  <si>
    <t>Conditon 1</t>
  </si>
  <si>
    <t>Condition 2</t>
  </si>
  <si>
    <t>=IFERROR()</t>
  </si>
  <si>
    <t>=IFNA()</t>
  </si>
  <si>
    <t>=AND()</t>
  </si>
  <si>
    <t>=OR()</t>
  </si>
  <si>
    <t>Buckets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</si>
</sst>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\ hh:mm:ss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/>
      <top style="mediumDashed">
        <color indexed="64"/>
      </top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4" fillId="0" borderId="10" xfId="0" applyFont="1" applyBorder="1" applyAlignment="1">
      <alignment horizontal="center" wrapText="1"/>
    </xf>
    <xf numFmtId="0" fontId="3" fillId="0" borderId="10" xfId="0" applyFont="1" applyBorder="1"/>
    <xf numFmtId="164" fontId="3" fillId="0" borderId="10" xfId="1" applyNumberFormat="1" applyFont="1" applyBorder="1" applyAlignment="1"/>
    <xf numFmtId="0" fontId="3" fillId="0" borderId="10" xfId="1" applyNumberFormat="1" applyFont="1" applyBorder="1" applyAlignment="1"/>
    <xf numFmtId="0" fontId="4" fillId="0" borderId="11" xfId="0" applyFont="1" applyBorder="1" applyAlignment="1">
      <alignment horizontal="center" wrapText="1"/>
    </xf>
    <xf numFmtId="0" fontId="3" fillId="0" borderId="11" xfId="0" applyFont="1" applyBorder="1"/>
    <xf numFmtId="0" fontId="4" fillId="0" borderId="12" xfId="0" applyFont="1" applyBorder="1" applyAlignment="1">
      <alignment horizontal="center" wrapText="1"/>
    </xf>
    <xf numFmtId="0" fontId="3" fillId="0" borderId="13" xfId="0" applyFont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0" fontId="4" fillId="2" borderId="15" xfId="0" applyFont="1" applyFill="1" applyBorder="1" applyAlignment="1">
      <alignment horizontal="center" wrapText="1"/>
    </xf>
    <xf numFmtId="0" fontId="3" fillId="0" borderId="16" xfId="0" applyFont="1" applyBorder="1"/>
    <xf numFmtId="0" fontId="3" fillId="0" borderId="17" xfId="0" applyFont="1" applyBorder="1"/>
    <xf numFmtId="0" fontId="6" fillId="0" borderId="1" xfId="0" applyFont="1" applyBorder="1" applyAlignment="1">
      <alignment horizontal="center" vertical="top"/>
    </xf>
    <xf numFmtId="0" fontId="6" fillId="0" borderId="18" xfId="0" applyFont="1" applyBorder="1" applyAlignment="1">
      <alignment horizontal="center" vertical="top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6" xfId="0" applyBorder="1"/>
    <xf numFmtId="0" fontId="0" fillId="0" borderId="17" xfId="0" applyBorder="1"/>
    <xf numFmtId="0" fontId="2" fillId="3" borderId="1" xfId="0" quotePrefix="1" applyFont="1" applyFill="1" applyBorder="1"/>
    <xf numFmtId="0" fontId="2" fillId="3" borderId="15" xfId="0" quotePrefix="1" applyFont="1" applyFill="1" applyBorder="1" applyAlignment="1">
      <alignment horizontal="center"/>
    </xf>
    <xf numFmtId="0" fontId="6" fillId="0" borderId="19" xfId="0" applyFont="1" applyBorder="1" applyAlignment="1">
      <alignment horizontal="center" vertical="top"/>
    </xf>
    <xf numFmtId="165" fontId="0" fillId="0" borderId="1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xmlns=""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Q16"/>
  <sheetViews>
    <sheetView zoomScale="120" zoomScaleNormal="120" workbookViewId="0">
      <selection activeCell="B3" sqref="B3"/>
    </sheetView>
  </sheetViews>
  <sheetFormatPr defaultColWidth="9.125" defaultRowHeight="15"/>
  <cols>
    <col min="1" max="1" width="5.125" style="1" customWidth="1"/>
    <col min="2" max="2" width="22.625" style="1" bestFit="1" customWidth="1"/>
    <col min="3" max="3" width="18.25" style="1" bestFit="1" customWidth="1"/>
    <col min="4" max="4" width="12.25" style="1" customWidth="1"/>
    <col min="5" max="5" width="11.625" style="1" customWidth="1"/>
    <col min="6" max="6" width="10.625" style="1" hidden="1" customWidth="1"/>
    <col min="7" max="7" width="9.125" style="1" hidden="1" customWidth="1"/>
    <col min="8" max="9" width="11.125" style="1" hidden="1" customWidth="1"/>
    <col min="10" max="10" width="17.25" style="1" hidden="1" customWidth="1"/>
    <col min="11" max="11" width="14.25" style="1" hidden="1" customWidth="1"/>
    <col min="12" max="12" width="10.25" style="1" customWidth="1"/>
    <col min="13" max="13" width="9.125" style="1" customWidth="1"/>
    <col min="14" max="14" width="10.375" style="1" hidden="1" customWidth="1"/>
    <col min="15" max="15" width="14.125" style="1" hidden="1" customWidth="1"/>
    <col min="16" max="16" width="9.625" style="1" customWidth="1"/>
    <col min="17" max="17" width="9.125" style="1"/>
    <col min="18" max="18" width="14.125" style="1" bestFit="1" customWidth="1"/>
    <col min="19" max="16384" width="9.125" style="1"/>
  </cols>
  <sheetData>
    <row r="1" spans="2:17" ht="15.75" thickBot="1">
      <c r="G1" s="25"/>
    </row>
    <row r="2" spans="2:17" s="11" customFormat="1" ht="27.75" customHeight="1" thickBot="1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18" t="s">
        <v>24</v>
      </c>
      <c r="Q2" s="31" t="s">
        <v>45</v>
      </c>
    </row>
    <row r="3" spans="2:17" ht="15.75" thickBot="1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19" t="b">
        <f>AND(L3,M3)</f>
        <v>1</v>
      </c>
      <c r="Q3" s="32"/>
    </row>
    <row r="4" spans="2:17" ht="15.75" thickBot="1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19" t="b">
        <f t="shared" ref="P4:P12" si="10">AND(L4,M4)</f>
        <v>0</v>
      </c>
      <c r="Q4" s="32"/>
    </row>
    <row r="5" spans="2:17" ht="15.75" thickBot="1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19" t="b">
        <f t="shared" si="10"/>
        <v>0</v>
      </c>
      <c r="Q5" s="32"/>
    </row>
    <row r="6" spans="2:17" ht="15.75" thickBot="1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19" t="b">
        <f t="shared" si="10"/>
        <v>1</v>
      </c>
      <c r="Q6" s="32"/>
    </row>
    <row r="7" spans="2:17" ht="15.75" thickBot="1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19" t="b">
        <f t="shared" si="10"/>
        <v>0</v>
      </c>
      <c r="Q7" s="32"/>
    </row>
    <row r="8" spans="2:17" ht="15.75" thickBot="1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19" t="b">
        <f t="shared" si="10"/>
        <v>1</v>
      </c>
      <c r="Q8" s="32"/>
    </row>
    <row r="9" spans="2:17" ht="15.75" thickBot="1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19" t="b">
        <f t="shared" si="10"/>
        <v>1</v>
      </c>
      <c r="Q9" s="32"/>
    </row>
    <row r="10" spans="2:17" ht="15.75" thickBot="1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19" t="b">
        <f t="shared" si="10"/>
        <v>1</v>
      </c>
      <c r="Q10" s="32"/>
    </row>
    <row r="11" spans="2:17" ht="15.75" thickBot="1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19" t="b">
        <f t="shared" si="10"/>
        <v>0</v>
      </c>
      <c r="Q11" s="32"/>
    </row>
    <row r="12" spans="2:17" ht="15.75" thickBot="1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19" t="b">
        <f t="shared" si="10"/>
        <v>1</v>
      </c>
      <c r="Q12" s="33"/>
    </row>
    <row r="14" spans="2:17" ht="15.75" thickBot="1">
      <c r="B14" s="17" t="s">
        <v>25</v>
      </c>
    </row>
    <row r="15" spans="2:17">
      <c r="B15" s="13" t="s">
        <v>22</v>
      </c>
      <c r="C15" s="14">
        <v>5</v>
      </c>
    </row>
    <row r="16" spans="2:17" ht="15.75" thickBot="1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A13C-1EE0-4C25-B641-D7D4D62C7E1E}">
  <dimension ref="B1:Q16"/>
  <sheetViews>
    <sheetView zoomScale="120" zoomScaleNormal="120" workbookViewId="0">
      <selection activeCell="S6" sqref="S6"/>
    </sheetView>
  </sheetViews>
  <sheetFormatPr defaultColWidth="9.125" defaultRowHeight="15"/>
  <cols>
    <col min="1" max="1" width="5.125" style="1" customWidth="1"/>
    <col min="2" max="2" width="22.625" style="1" bestFit="1" customWidth="1"/>
    <col min="3" max="3" width="10.375" style="1" customWidth="1"/>
    <col min="4" max="4" width="12.25" style="1" customWidth="1"/>
    <col min="5" max="5" width="11.625" style="1" customWidth="1"/>
    <col min="6" max="6" width="10.625" style="1" hidden="1" customWidth="1"/>
    <col min="7" max="7" width="9.125" style="1" hidden="1" customWidth="1"/>
    <col min="8" max="9" width="11.125" style="1" hidden="1" customWidth="1"/>
    <col min="10" max="10" width="17.25" style="1" hidden="1" customWidth="1"/>
    <col min="11" max="11" width="14.25" style="1" hidden="1" customWidth="1"/>
    <col min="12" max="12" width="10.25" style="1" hidden="1" customWidth="1"/>
    <col min="13" max="13" width="9.125" style="1" hidden="1" customWidth="1"/>
    <col min="14" max="14" width="10.375" style="1" hidden="1" customWidth="1"/>
    <col min="15" max="15" width="14.125" style="1" hidden="1" customWidth="1"/>
    <col min="16" max="16" width="9.625" style="1" hidden="1" customWidth="1"/>
    <col min="17" max="17" width="9.625" style="1" customWidth="1"/>
    <col min="18" max="18" width="9.125" style="1"/>
    <col min="19" max="19" width="14.125" style="1" bestFit="1" customWidth="1"/>
    <col min="20" max="16384" width="9.125" style="1"/>
  </cols>
  <sheetData>
    <row r="1" spans="2:17" ht="15.75" thickBot="1">
      <c r="G1" s="25"/>
    </row>
    <row r="2" spans="2:17" s="11" customFormat="1" ht="27.75" customHeight="1" thickBot="1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29" t="s">
        <v>24</v>
      </c>
      <c r="Q2" s="31" t="s">
        <v>45</v>
      </c>
    </row>
    <row r="3" spans="2:17" ht="15.75" thickBot="1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30" t="b">
        <f>AND(L3,M3)</f>
        <v>1</v>
      </c>
      <c r="Q3" s="32" t="str">
        <f>IF(P3, "Goal Met", "Not Met")</f>
        <v>Goal Met</v>
      </c>
    </row>
    <row r="4" spans="2:17" ht="15.75" thickBot="1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30" t="b">
        <f t="shared" ref="P4:P12" si="10">AND(L4,M4)</f>
        <v>0</v>
      </c>
      <c r="Q4" s="32" t="str">
        <f t="shared" ref="Q4:Q12" si="11">IF(P4, "Goal Met", "Not Met")</f>
        <v>Not Met</v>
      </c>
    </row>
    <row r="5" spans="2:17" ht="15.75" thickBot="1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30" t="b">
        <f t="shared" si="10"/>
        <v>0</v>
      </c>
      <c r="Q5" s="32" t="str">
        <f t="shared" si="11"/>
        <v>Not Met</v>
      </c>
    </row>
    <row r="6" spans="2:17" ht="15.75" thickBot="1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30" t="b">
        <f t="shared" si="10"/>
        <v>1</v>
      </c>
      <c r="Q6" s="32" t="str">
        <f t="shared" si="11"/>
        <v>Goal Met</v>
      </c>
    </row>
    <row r="7" spans="2:17" ht="15.75" thickBot="1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30" t="b">
        <f t="shared" si="10"/>
        <v>0</v>
      </c>
      <c r="Q7" s="32" t="str">
        <f t="shared" si="11"/>
        <v>Not Met</v>
      </c>
    </row>
    <row r="8" spans="2:17" ht="15.75" thickBot="1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30" t="b">
        <f t="shared" si="10"/>
        <v>1</v>
      </c>
      <c r="Q8" s="32" t="str">
        <f t="shared" si="11"/>
        <v>Goal Met</v>
      </c>
    </row>
    <row r="9" spans="2:17" ht="15.75" thickBot="1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30" t="b">
        <f t="shared" si="10"/>
        <v>1</v>
      </c>
      <c r="Q9" s="32" t="str">
        <f t="shared" si="11"/>
        <v>Goal Met</v>
      </c>
    </row>
    <row r="10" spans="2:17" ht="15.75" thickBot="1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30" t="b">
        <f t="shared" si="10"/>
        <v>1</v>
      </c>
      <c r="Q10" s="32" t="str">
        <f t="shared" si="11"/>
        <v>Goal Met</v>
      </c>
    </row>
    <row r="11" spans="2:17" ht="15.75" thickBot="1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30" t="b">
        <f t="shared" si="10"/>
        <v>0</v>
      </c>
      <c r="Q11" s="32" t="str">
        <f t="shared" si="11"/>
        <v>Not Met</v>
      </c>
    </row>
    <row r="12" spans="2:17" ht="15.75" thickBot="1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30" t="b">
        <f t="shared" si="10"/>
        <v>1</v>
      </c>
      <c r="Q12" s="33" t="str">
        <f t="shared" si="11"/>
        <v>Goal Met</v>
      </c>
    </row>
    <row r="14" spans="2:17" ht="15.75" thickBot="1">
      <c r="B14" s="17" t="s">
        <v>25</v>
      </c>
    </row>
    <row r="15" spans="2:17">
      <c r="B15" s="13" t="s">
        <v>22</v>
      </c>
      <c r="C15" s="14">
        <v>5</v>
      </c>
    </row>
    <row r="16" spans="2:17" ht="15.75" thickBot="1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E6D21-2229-4383-8B9A-431F68FAE08C}">
  <dimension ref="A1:R21"/>
  <sheetViews>
    <sheetView tabSelected="1" zoomScale="110" zoomScaleNormal="110" workbookViewId="0">
      <selection activeCell="R2" sqref="R2:R21"/>
    </sheetView>
  </sheetViews>
  <sheetFormatPr defaultRowHeight="14.25"/>
  <cols>
    <col min="1" max="1" width="16.875" bestFit="1" customWidth="1"/>
    <col min="2" max="2" width="19.125" hidden="1" customWidth="1"/>
    <col min="3" max="3" width="21.875" hidden="1" customWidth="1"/>
    <col min="4" max="4" width="11.125" hidden="1" customWidth="1"/>
    <col min="5" max="5" width="38.125" hidden="1" customWidth="1"/>
    <col min="6" max="6" width="14.625" hidden="1" customWidth="1"/>
    <col min="7" max="7" width="18.625" hidden="1" customWidth="1"/>
    <col min="8" max="8" width="16" customWidth="1"/>
    <col min="9" max="9" width="19" hidden="1" customWidth="1"/>
    <col min="10" max="10" width="68.125" hidden="1" customWidth="1"/>
    <col min="11" max="11" width="11" hidden="1" customWidth="1"/>
    <col min="12" max="12" width="14.25" hidden="1" customWidth="1"/>
    <col min="13" max="13" width="10.5" hidden="1" customWidth="1"/>
    <col min="14" max="14" width="6.5" hidden="1" customWidth="1"/>
    <col min="15" max="15" width="6.375" hidden="1" customWidth="1"/>
    <col min="16" max="17" width="11.25" customWidth="1"/>
    <col min="18" max="18" width="12.625" customWidth="1"/>
  </cols>
  <sheetData>
    <row r="1" spans="1:18" ht="15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34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</row>
    <row r="2" spans="1:18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s="27" t="b">
        <v>0</v>
      </c>
      <c r="J2" s="27" t="s">
        <v>62</v>
      </c>
      <c r="K2" t="str">
        <f>IF($A2=K$1,"Role Desired","Not Desired")</f>
        <v>Not Desired</v>
      </c>
      <c r="L2" t="str">
        <f>IF($A2=L$1,"Role Desired","Not Desired")</f>
        <v>Not Desired</v>
      </c>
      <c r="M2" t="str">
        <f>IF($A2=K$1,"Role Desired",IF($A2=L$1,"Role Desired","Not Desired"))</f>
        <v>Not Desired</v>
      </c>
      <c r="N2" t="b">
        <f>AND($A2=$K$1, $A2=$L$1)</f>
        <v>0</v>
      </c>
      <c r="O2" t="b">
        <f>OR($A2=$K$1, $A2=$L$1)</f>
        <v>0</v>
      </c>
      <c r="P2" t="str">
        <f>IF(OR($A2=$K$1, $A2=$L$1), "Role Desired", "Not Desired")</f>
        <v>Not Desired</v>
      </c>
      <c r="Q2" t="str">
        <f>IF($H2&gt;$Q$1, "Salary&gt;85K", "Salary Low")</f>
        <v>Salary&gt;85K</v>
      </c>
      <c r="R2" t="str">
        <f>_xlfn.IFS($H2="", "No Data", $H2&gt;=$Q$1, "Salary&gt;85K", TRUE, "Salary Low")</f>
        <v>Salary&gt;85K</v>
      </c>
    </row>
    <row r="3" spans="1:18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s="27" t="b">
        <v>1</v>
      </c>
      <c r="J3" s="27" t="s">
        <v>68</v>
      </c>
      <c r="K3" t="str">
        <f t="shared" ref="K3:L21" si="0">IF($A3=K$1,"Role Desired","Not Desired")</f>
        <v>Role Desired</v>
      </c>
      <c r="L3" t="str">
        <f t="shared" si="0"/>
        <v>Not Desired</v>
      </c>
      <c r="M3" t="str">
        <f t="shared" ref="M3:M21" si="1">IF($A3=K$1,"Role Desired",IF($A3=L$1,"Role Desired","Not Desired"))</f>
        <v>Role Desired</v>
      </c>
      <c r="N3" t="b">
        <f>AND($A3=$K$1, $A3=$L$1)</f>
        <v>0</v>
      </c>
      <c r="O3" t="b">
        <f t="shared" ref="O3:O21" si="2">OR($A3=$K$1, $A3=$L$1)</f>
        <v>1</v>
      </c>
      <c r="P3" t="str">
        <f t="shared" ref="P3:P21" si="3">IF(OR($A3=$K$1, $A3=$L$1), "Role Desired", "Not Desired")</f>
        <v>Role Desired</v>
      </c>
      <c r="Q3" t="str">
        <f t="shared" ref="Q3:Q21" si="4">IF($H3&gt;$Q$1, "Salary&gt;85K", "Salary Low")</f>
        <v>Salary Low</v>
      </c>
      <c r="R3" t="str">
        <f t="shared" ref="R3:R21" si="5">_xlfn.IFS($H3="", "No Data", $H3&gt;=$Q$1, "Salary&gt;85K", TRUE, "Salary Low")</f>
        <v>Salary Low</v>
      </c>
    </row>
    <row r="4" spans="1:18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s="27" t="b">
        <v>0</v>
      </c>
      <c r="J4" s="27" t="s">
        <v>72</v>
      </c>
      <c r="K4" t="str">
        <f t="shared" si="0"/>
        <v>Role Desired</v>
      </c>
      <c r="L4" t="str">
        <f t="shared" si="0"/>
        <v>Not Desired</v>
      </c>
      <c r="M4" t="str">
        <f t="shared" si="1"/>
        <v>Role Desired</v>
      </c>
      <c r="N4" t="b">
        <f t="shared" ref="N3:N21" si="6">AND($A4=$K$1, $A4=$L$1)</f>
        <v>0</v>
      </c>
      <c r="O4" t="b">
        <f>OR($A4=$K$1, $A4=$L$1)</f>
        <v>1</v>
      </c>
      <c r="P4" t="str">
        <f t="shared" si="3"/>
        <v>Role Desired</v>
      </c>
      <c r="Q4" t="str">
        <f t="shared" si="4"/>
        <v>Salary Low</v>
      </c>
      <c r="R4" t="str">
        <f t="shared" si="5"/>
        <v>No Data</v>
      </c>
    </row>
    <row r="5" spans="1:18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s="27" t="b">
        <v>0</v>
      </c>
      <c r="J5" s="27" t="s">
        <v>75</v>
      </c>
      <c r="K5" t="str">
        <f t="shared" si="0"/>
        <v>Not Desired</v>
      </c>
      <c r="L5" t="str">
        <f t="shared" si="0"/>
        <v>Not Desired</v>
      </c>
      <c r="M5" t="str">
        <f t="shared" si="1"/>
        <v>Not Desired</v>
      </c>
      <c r="N5" t="b">
        <f t="shared" si="6"/>
        <v>0</v>
      </c>
      <c r="O5" t="b">
        <f t="shared" si="2"/>
        <v>0</v>
      </c>
      <c r="P5" t="str">
        <f t="shared" si="3"/>
        <v>Not Desired</v>
      </c>
      <c r="Q5" t="str">
        <f t="shared" si="4"/>
        <v>Salary Low</v>
      </c>
      <c r="R5" t="str">
        <f t="shared" si="5"/>
        <v>No Data</v>
      </c>
    </row>
    <row r="6" spans="1:18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s="27" t="b">
        <v>0</v>
      </c>
      <c r="J6" s="27" t="s">
        <v>80</v>
      </c>
      <c r="K6" t="str">
        <f t="shared" si="0"/>
        <v>Not Desired</v>
      </c>
      <c r="L6" t="str">
        <f t="shared" si="0"/>
        <v>Not Desired</v>
      </c>
      <c r="M6" t="str">
        <f t="shared" si="1"/>
        <v>Not Desired</v>
      </c>
      <c r="N6" t="b">
        <f t="shared" si="6"/>
        <v>0</v>
      </c>
      <c r="O6" t="b">
        <f t="shared" si="2"/>
        <v>0</v>
      </c>
      <c r="P6" t="str">
        <f t="shared" si="3"/>
        <v>Not Desired</v>
      </c>
      <c r="Q6" t="str">
        <f t="shared" si="4"/>
        <v>Salary Low</v>
      </c>
      <c r="R6" t="str">
        <f t="shared" si="5"/>
        <v>No Data</v>
      </c>
    </row>
    <row r="7" spans="1:18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s="27" t="b">
        <v>0</v>
      </c>
      <c r="J7" s="27" t="s">
        <v>84</v>
      </c>
      <c r="K7" t="str">
        <f t="shared" si="0"/>
        <v>Not Desired</v>
      </c>
      <c r="L7" t="str">
        <f t="shared" si="0"/>
        <v>Not Desired</v>
      </c>
      <c r="M7" t="str">
        <f t="shared" si="1"/>
        <v>Not Desired</v>
      </c>
      <c r="N7" t="b">
        <f t="shared" si="6"/>
        <v>0</v>
      </c>
      <c r="O7" t="b">
        <f t="shared" si="2"/>
        <v>0</v>
      </c>
      <c r="P7" t="str">
        <f t="shared" si="3"/>
        <v>Not Desired</v>
      </c>
      <c r="Q7" t="str">
        <f t="shared" si="4"/>
        <v>Salary Low</v>
      </c>
      <c r="R7" t="str">
        <f t="shared" si="5"/>
        <v>No Data</v>
      </c>
    </row>
    <row r="8" spans="1:18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s="27" t="b">
        <v>0</v>
      </c>
      <c r="J8" s="27" t="s">
        <v>87</v>
      </c>
      <c r="K8" t="str">
        <f t="shared" si="0"/>
        <v>Role Desired</v>
      </c>
      <c r="L8" t="str">
        <f t="shared" si="0"/>
        <v>Not Desired</v>
      </c>
      <c r="M8" t="str">
        <f t="shared" si="1"/>
        <v>Role Desired</v>
      </c>
      <c r="N8" t="b">
        <f t="shared" si="6"/>
        <v>0</v>
      </c>
      <c r="O8" t="b">
        <f t="shared" si="2"/>
        <v>1</v>
      </c>
      <c r="P8" t="str">
        <f t="shared" si="3"/>
        <v>Role Desired</v>
      </c>
      <c r="Q8" t="str">
        <f t="shared" si="4"/>
        <v>Salary Low</v>
      </c>
      <c r="R8" t="str">
        <f t="shared" si="5"/>
        <v>No Data</v>
      </c>
    </row>
    <row r="9" spans="1:18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s="27" t="b">
        <v>0</v>
      </c>
      <c r="J9" s="27" t="s">
        <v>91</v>
      </c>
      <c r="K9" t="str">
        <f t="shared" si="0"/>
        <v>Role Desired</v>
      </c>
      <c r="L9" t="str">
        <f t="shared" si="0"/>
        <v>Not Desired</v>
      </c>
      <c r="M9" t="str">
        <f t="shared" si="1"/>
        <v>Role Desired</v>
      </c>
      <c r="N9" t="b">
        <f t="shared" si="6"/>
        <v>0</v>
      </c>
      <c r="O9" t="b">
        <f t="shared" si="2"/>
        <v>1</v>
      </c>
      <c r="P9" t="str">
        <f t="shared" si="3"/>
        <v>Role Desired</v>
      </c>
      <c r="Q9" t="str">
        <f t="shared" si="4"/>
        <v>Salary&gt;85K</v>
      </c>
      <c r="R9" t="str">
        <f t="shared" si="5"/>
        <v>Salary&gt;85K</v>
      </c>
    </row>
    <row r="10" spans="1:18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s="27" t="b">
        <v>0</v>
      </c>
      <c r="J10" s="27" t="s">
        <v>94</v>
      </c>
      <c r="K10" t="str">
        <f t="shared" si="0"/>
        <v>Role Desired</v>
      </c>
      <c r="L10" t="str">
        <f t="shared" si="0"/>
        <v>Not Desired</v>
      </c>
      <c r="M10" t="str">
        <f t="shared" si="1"/>
        <v>Role Desired</v>
      </c>
      <c r="N10" t="b">
        <f t="shared" si="6"/>
        <v>0</v>
      </c>
      <c r="O10" t="b">
        <f t="shared" si="2"/>
        <v>1</v>
      </c>
      <c r="P10" t="str">
        <f t="shared" si="3"/>
        <v>Role Desired</v>
      </c>
      <c r="Q10" t="str">
        <f t="shared" si="4"/>
        <v>Salary Low</v>
      </c>
      <c r="R10" t="str">
        <f t="shared" si="5"/>
        <v>No Data</v>
      </c>
    </row>
    <row r="11" spans="1:18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s="27" t="b">
        <v>0</v>
      </c>
      <c r="J11" s="27" t="s">
        <v>98</v>
      </c>
      <c r="K11" t="str">
        <f t="shared" si="0"/>
        <v>Role Desired</v>
      </c>
      <c r="L11" t="str">
        <f t="shared" si="0"/>
        <v>Not Desired</v>
      </c>
      <c r="M11" t="str">
        <f t="shared" si="1"/>
        <v>Role Desired</v>
      </c>
      <c r="N11" t="b">
        <f t="shared" si="6"/>
        <v>0</v>
      </c>
      <c r="O11" t="b">
        <f t="shared" si="2"/>
        <v>1</v>
      </c>
      <c r="P11" t="str">
        <f t="shared" si="3"/>
        <v>Role Desired</v>
      </c>
      <c r="Q11" t="str">
        <f t="shared" si="4"/>
        <v>Salary&gt;85K</v>
      </c>
      <c r="R11" t="str">
        <f t="shared" si="5"/>
        <v>Salary&gt;85K</v>
      </c>
    </row>
    <row r="12" spans="1:18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s="27" t="b">
        <v>0</v>
      </c>
      <c r="J12" s="27" t="s">
        <v>101</v>
      </c>
      <c r="K12" t="str">
        <f t="shared" si="0"/>
        <v>Not Desired</v>
      </c>
      <c r="L12" t="str">
        <f t="shared" si="0"/>
        <v>Not Desired</v>
      </c>
      <c r="M12" t="str">
        <f t="shared" si="1"/>
        <v>Not Desired</v>
      </c>
      <c r="N12" t="b">
        <f t="shared" si="6"/>
        <v>0</v>
      </c>
      <c r="O12" t="b">
        <f t="shared" si="2"/>
        <v>0</v>
      </c>
      <c r="P12" t="str">
        <f t="shared" si="3"/>
        <v>Not Desired</v>
      </c>
      <c r="Q12" t="str">
        <f t="shared" si="4"/>
        <v>Salary&gt;85K</v>
      </c>
      <c r="R12" t="str">
        <f t="shared" si="5"/>
        <v>Salary&gt;85K</v>
      </c>
    </row>
    <row r="13" spans="1:18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s="27" t="b">
        <v>0</v>
      </c>
      <c r="J13" s="27" t="s">
        <v>105</v>
      </c>
      <c r="K13" t="str">
        <f t="shared" si="0"/>
        <v>Not Desired</v>
      </c>
      <c r="L13" t="str">
        <f t="shared" si="0"/>
        <v>Not Desired</v>
      </c>
      <c r="M13" t="str">
        <f t="shared" si="1"/>
        <v>Not Desired</v>
      </c>
      <c r="N13" t="b">
        <f t="shared" si="6"/>
        <v>0</v>
      </c>
      <c r="O13" t="b">
        <f t="shared" si="2"/>
        <v>0</v>
      </c>
      <c r="P13" t="str">
        <f t="shared" si="3"/>
        <v>Not Desired</v>
      </c>
      <c r="Q13" t="str">
        <f t="shared" si="4"/>
        <v>Salary&gt;85K</v>
      </c>
      <c r="R13" t="str">
        <f t="shared" si="5"/>
        <v>Salary&gt;85K</v>
      </c>
    </row>
    <row r="14" spans="1:18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s="27" t="b">
        <v>0</v>
      </c>
      <c r="J14" s="27" t="s">
        <v>109</v>
      </c>
      <c r="K14" t="str">
        <f t="shared" si="0"/>
        <v>Not Desired</v>
      </c>
      <c r="L14" t="str">
        <f t="shared" si="0"/>
        <v>Not Desired</v>
      </c>
      <c r="M14" t="str">
        <f t="shared" si="1"/>
        <v>Not Desired</v>
      </c>
      <c r="N14" t="b">
        <f t="shared" si="6"/>
        <v>0</v>
      </c>
      <c r="O14" t="b">
        <f t="shared" si="2"/>
        <v>0</v>
      </c>
      <c r="P14" t="str">
        <f t="shared" si="3"/>
        <v>Not Desired</v>
      </c>
      <c r="Q14" t="str">
        <f t="shared" si="4"/>
        <v>Salary&gt;85K</v>
      </c>
      <c r="R14" t="str">
        <f t="shared" si="5"/>
        <v>Salary&gt;85K</v>
      </c>
    </row>
    <row r="15" spans="1:18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s="27" t="b">
        <v>0</v>
      </c>
      <c r="J15" s="27" t="s">
        <v>114</v>
      </c>
      <c r="K15" t="str">
        <f t="shared" si="0"/>
        <v>Not Desired</v>
      </c>
      <c r="L15" t="str">
        <f t="shared" si="0"/>
        <v>Not Desired</v>
      </c>
      <c r="M15" t="str">
        <f t="shared" si="1"/>
        <v>Not Desired</v>
      </c>
      <c r="N15" t="b">
        <f t="shared" si="6"/>
        <v>0</v>
      </c>
      <c r="O15" t="b">
        <f t="shared" si="2"/>
        <v>0</v>
      </c>
      <c r="P15" t="str">
        <f t="shared" si="3"/>
        <v>Not Desired</v>
      </c>
      <c r="Q15" t="str">
        <f t="shared" si="4"/>
        <v>Salary Low</v>
      </c>
      <c r="R15" t="str">
        <f t="shared" si="5"/>
        <v>Salary Low</v>
      </c>
    </row>
    <row r="16" spans="1:18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s="27" t="b">
        <v>0</v>
      </c>
      <c r="J16" s="27" t="s">
        <v>118</v>
      </c>
      <c r="K16" t="str">
        <f t="shared" si="0"/>
        <v>Not Desired</v>
      </c>
      <c r="L16" t="str">
        <f t="shared" si="0"/>
        <v>Not Desired</v>
      </c>
      <c r="M16" t="str">
        <f t="shared" si="1"/>
        <v>Not Desired</v>
      </c>
      <c r="N16" t="b">
        <f t="shared" si="6"/>
        <v>0</v>
      </c>
      <c r="O16" t="b">
        <f t="shared" si="2"/>
        <v>0</v>
      </c>
      <c r="P16" t="str">
        <f t="shared" si="3"/>
        <v>Not Desired</v>
      </c>
      <c r="Q16" t="str">
        <f t="shared" si="4"/>
        <v>Salary&gt;85K</v>
      </c>
      <c r="R16" t="str">
        <f t="shared" si="5"/>
        <v>Salary&gt;85K</v>
      </c>
    </row>
    <row r="17" spans="1:18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s="27" t="b">
        <v>0</v>
      </c>
      <c r="J17" s="27" t="s">
        <v>122</v>
      </c>
      <c r="K17" t="str">
        <f t="shared" si="0"/>
        <v>Not Desired</v>
      </c>
      <c r="L17" t="str">
        <f t="shared" si="0"/>
        <v>Not Desired</v>
      </c>
      <c r="M17" t="str">
        <f t="shared" si="1"/>
        <v>Not Desired</v>
      </c>
      <c r="N17" t="b">
        <f t="shared" si="6"/>
        <v>0</v>
      </c>
      <c r="O17" t="b">
        <f t="shared" si="2"/>
        <v>0</v>
      </c>
      <c r="P17" t="str">
        <f t="shared" si="3"/>
        <v>Not Desired</v>
      </c>
      <c r="Q17" t="str">
        <f t="shared" si="4"/>
        <v>Salary&gt;85K</v>
      </c>
      <c r="R17" t="str">
        <f t="shared" si="5"/>
        <v>Salary&gt;85K</v>
      </c>
    </row>
    <row r="18" spans="1:18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s="27" t="b">
        <v>0</v>
      </c>
      <c r="J18" s="27" t="s">
        <v>126</v>
      </c>
      <c r="K18" t="str">
        <f>IF($A18=K$1,"Role Desired","Not Desired")</f>
        <v>Not Desired</v>
      </c>
      <c r="L18" t="str">
        <f t="shared" si="0"/>
        <v>Role Desired</v>
      </c>
      <c r="M18" t="str">
        <f t="shared" si="1"/>
        <v>Role Desired</v>
      </c>
      <c r="N18" t="b">
        <f t="shared" si="6"/>
        <v>0</v>
      </c>
      <c r="O18" t="b">
        <f t="shared" si="2"/>
        <v>1</v>
      </c>
      <c r="P18" t="str">
        <f t="shared" si="3"/>
        <v>Role Desired</v>
      </c>
      <c r="Q18" t="str">
        <f t="shared" si="4"/>
        <v>Salary Low</v>
      </c>
      <c r="R18" t="str">
        <f t="shared" si="5"/>
        <v>No Data</v>
      </c>
    </row>
    <row r="19" spans="1:18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s="27" t="b">
        <v>0</v>
      </c>
      <c r="J19" s="27" t="s">
        <v>129</v>
      </c>
      <c r="K19" t="str">
        <f t="shared" si="0"/>
        <v>Not Desired</v>
      </c>
      <c r="L19" t="str">
        <f t="shared" si="0"/>
        <v>Not Desired</v>
      </c>
      <c r="M19" t="str">
        <f t="shared" si="1"/>
        <v>Not Desired</v>
      </c>
      <c r="N19" t="b">
        <f t="shared" si="6"/>
        <v>0</v>
      </c>
      <c r="O19" t="b">
        <f t="shared" si="2"/>
        <v>0</v>
      </c>
      <c r="P19" t="str">
        <f t="shared" si="3"/>
        <v>Not Desired</v>
      </c>
      <c r="Q19" t="str">
        <f t="shared" si="4"/>
        <v>Salary&gt;85K</v>
      </c>
      <c r="R19" t="str">
        <f t="shared" si="5"/>
        <v>Salary&gt;85K</v>
      </c>
    </row>
    <row r="20" spans="1:18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s="27" t="b">
        <v>1</v>
      </c>
      <c r="J20" s="27" t="s">
        <v>131</v>
      </c>
      <c r="K20" t="str">
        <f t="shared" si="0"/>
        <v>Not Desired</v>
      </c>
      <c r="L20" t="str">
        <f t="shared" si="0"/>
        <v>Not Desired</v>
      </c>
      <c r="M20" t="str">
        <f>IF($A20=K$1,"Role Desired",IF($A20=L$1,"Role Desired","Not Desired"))</f>
        <v>Not Desired</v>
      </c>
      <c r="N20" t="b">
        <f t="shared" si="6"/>
        <v>0</v>
      </c>
      <c r="O20" t="b">
        <f t="shared" si="2"/>
        <v>0</v>
      </c>
      <c r="P20" t="str">
        <f t="shared" si="3"/>
        <v>Not Desired</v>
      </c>
      <c r="Q20" t="str">
        <f t="shared" si="4"/>
        <v>Salary Low</v>
      </c>
      <c r="R20" t="str">
        <f t="shared" si="5"/>
        <v>No Data</v>
      </c>
    </row>
    <row r="21" spans="1:18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s="27" t="b">
        <v>0</v>
      </c>
      <c r="J21" s="27" t="s">
        <v>135</v>
      </c>
      <c r="K21" t="str">
        <f t="shared" si="0"/>
        <v>Not Desired</v>
      </c>
      <c r="L21" t="str">
        <f>IF($A21=L$1,"Role Desired","Not Desired")</f>
        <v>Role Desired</v>
      </c>
      <c r="M21" t="str">
        <f t="shared" si="1"/>
        <v>Role Desired</v>
      </c>
      <c r="N21" t="b">
        <f t="shared" si="6"/>
        <v>0</v>
      </c>
      <c r="O21" t="b">
        <f t="shared" si="2"/>
        <v>1</v>
      </c>
      <c r="P21" t="str">
        <f t="shared" si="3"/>
        <v>Role Desired</v>
      </c>
      <c r="Q21" t="str">
        <f t="shared" si="4"/>
        <v>Salary&gt;85K</v>
      </c>
      <c r="R21" t="str">
        <f t="shared" si="5"/>
        <v>Salary&gt;85K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64259-8981-41EE-A951-64D7FCDC9F77}">
  <dimension ref="A1:XFD21"/>
  <sheetViews>
    <sheetView workbookViewId="0">
      <selection activeCell="R3" sqref="R3"/>
    </sheetView>
  </sheetViews>
  <sheetFormatPr defaultRowHeight="14.25"/>
  <cols>
    <col min="1" max="1" width="16.875" bestFit="1" customWidth="1"/>
    <col min="2" max="2" width="17.375" hidden="1" customWidth="1"/>
    <col min="3" max="3" width="21.875" hidden="1" customWidth="1"/>
    <col min="4" max="4" width="11.125" hidden="1" customWidth="1"/>
    <col min="5" max="5" width="38.125" hidden="1" customWidth="1"/>
    <col min="6" max="6" width="14.625" hidden="1" customWidth="1"/>
    <col min="7" max="7" width="18.625" hidden="1" customWidth="1"/>
    <col min="8" max="8" width="13.875" bestFit="1" customWidth="1"/>
    <col min="9" max="9" width="19" hidden="1" customWidth="1"/>
    <col min="10" max="10" width="68.125" hidden="1" customWidth="1"/>
    <col min="11" max="11" width="15.875" bestFit="1" customWidth="1"/>
    <col min="12" max="12" width="19.125" bestFit="1" customWidth="1"/>
    <col min="13" max="13" width="14.25" bestFit="1" customWidth="1"/>
    <col min="14" max="14" width="11.25" bestFit="1" customWidth="1"/>
    <col min="15" max="15" width="10.125" bestFit="1" customWidth="1"/>
    <col min="16" max="16" width="14.25" bestFit="1" customWidth="1"/>
    <col min="17" max="17" width="10.625" bestFit="1" customWidth="1"/>
    <col min="18" max="18" width="12.375" bestFit="1" customWidth="1"/>
  </cols>
  <sheetData>
    <row r="1" spans="1:18 16384:16384" ht="15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46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  <c r="XFD1">
        <f>SUM(Q1:XFC1)</f>
        <v>85000</v>
      </c>
    </row>
    <row r="2" spans="1:18 16384:16384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t="b">
        <v>0</v>
      </c>
      <c r="J2" t="s">
        <v>62</v>
      </c>
      <c r="K2" t="str">
        <f>IF($A2=$K$1, "Role Desired", "NOT Desired")</f>
        <v>NOT Desired</v>
      </c>
      <c r="L2" t="str">
        <f>IF($A2=$L$1, "Role Desired", "NOT Desired")</f>
        <v>NOT Desired</v>
      </c>
      <c r="M2" t="str">
        <f>IF($A2=$K$1, "Role Desired",IF($A2=$L$1, "Role Desired", "NOT Desired"))</f>
        <v>NOT Desired</v>
      </c>
      <c r="N2" t="b">
        <f>AND($A2=$K$1, $A2=$L$1)</f>
        <v>0</v>
      </c>
      <c r="O2" t="b">
        <f>OR($A2=$K$1, $A2=$L$1)</f>
        <v>0</v>
      </c>
      <c r="P2" t="str">
        <f>IF(OR($A2=$K$1, $A2=$L$1), "Role Desired", "NOT Desired")</f>
        <v>NOT Desired</v>
      </c>
      <c r="Q2" t="str">
        <f>IF($H2&gt;$Q$1, "Salary &gt; 85K", "Salary Low")</f>
        <v>Salary &gt; 85K</v>
      </c>
      <c r="R2" t="str">
        <f>_xlfn.IFS(H2="", "No Data", H2&gt;=$Q$1, "Salary &gt; 85K", TRUE, "Salary Low")</f>
        <v>Salary &gt; 85K</v>
      </c>
    </row>
    <row r="3" spans="1:18 16384:16384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t="b">
        <v>1</v>
      </c>
      <c r="J3" t="s">
        <v>68</v>
      </c>
      <c r="K3" t="str">
        <f t="shared" ref="K3:K21" si="0">IF($A3=$K$1, "Role Desired", "NOT Desired")</f>
        <v>Role Desired</v>
      </c>
      <c r="L3" t="str">
        <f t="shared" ref="L3:L21" si="1">IF($A3=$L$1, "Role Desired", "NOT Desired")</f>
        <v>NOT Desired</v>
      </c>
      <c r="M3" t="str">
        <f t="shared" ref="M3:M21" si="2">IF($A3=$K$1, "Role Desired",IF($A3=$L$1, "Role Desired", "NOT Desired"))</f>
        <v>Role Desired</v>
      </c>
      <c r="N3" t="b">
        <f t="shared" ref="N3:N21" si="3">AND($A3=$K$1, $A3=$L$1)</f>
        <v>0</v>
      </c>
      <c r="O3" t="b">
        <f t="shared" ref="O3:O21" si="4">OR($A3=$K$1, $A3=$L$1)</f>
        <v>1</v>
      </c>
      <c r="P3" t="str">
        <f t="shared" ref="P3:P21" si="5">IF(OR($A3=$K$1, $A3=$L$1), "Role Desired", "NOT Desired")</f>
        <v>Role Desired</v>
      </c>
      <c r="Q3" t="str">
        <f t="shared" ref="Q3:Q21" si="6">IF($H3&gt;$Q$1, "Salary &gt; 85K", "Salary Low")</f>
        <v>Salary Low</v>
      </c>
      <c r="R3" t="str" cm="1">
        <f t="array" ref="R3">_xlfn.IFS(H3="", "No Data", H3&gt;=$Q$1, "Salary &gt; 85K", TRUE, "Salary Low")</f>
        <v>Salary Low</v>
      </c>
    </row>
    <row r="4" spans="1:18 16384:16384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t="b">
        <v>0</v>
      </c>
      <c r="J4" t="s">
        <v>72</v>
      </c>
      <c r="K4" t="str">
        <f t="shared" si="0"/>
        <v>Role Desired</v>
      </c>
      <c r="L4" t="str">
        <f t="shared" si="1"/>
        <v>NOT Desired</v>
      </c>
      <c r="M4" t="str">
        <f t="shared" si="2"/>
        <v>Role Desired</v>
      </c>
      <c r="N4" t="b">
        <f t="shared" si="3"/>
        <v>0</v>
      </c>
      <c r="O4" t="b">
        <f t="shared" si="4"/>
        <v>1</v>
      </c>
      <c r="P4" t="str">
        <f t="shared" si="5"/>
        <v>Role Desired</v>
      </c>
      <c r="Q4" t="str">
        <f t="shared" si="6"/>
        <v>Salary Low</v>
      </c>
      <c r="R4" t="str" cm="1">
        <f t="array" ref="R4">_xlfn.IFS(H4="", "No Data", H4&gt;=$Q$1, "Salary &gt; 85K", TRUE, "Salary Low")</f>
        <v>No Data</v>
      </c>
    </row>
    <row r="5" spans="1:18 16384:16384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t="b">
        <v>0</v>
      </c>
      <c r="J5" t="s">
        <v>75</v>
      </c>
      <c r="K5" t="str">
        <f t="shared" si="0"/>
        <v>NOT Desired</v>
      </c>
      <c r="L5" t="str">
        <f t="shared" si="1"/>
        <v>NOT Desired</v>
      </c>
      <c r="M5" t="str">
        <f t="shared" si="2"/>
        <v>NOT Desired</v>
      </c>
      <c r="N5" t="b">
        <f t="shared" si="3"/>
        <v>0</v>
      </c>
      <c r="O5" t="b">
        <f t="shared" si="4"/>
        <v>0</v>
      </c>
      <c r="P5" t="str">
        <f t="shared" si="5"/>
        <v>NOT Desired</v>
      </c>
      <c r="Q5" t="str">
        <f t="shared" si="6"/>
        <v>Salary Low</v>
      </c>
      <c r="R5" t="str" cm="1">
        <f t="array" ref="R5">_xlfn.IFS(H5="", "No Data", H5&gt;=$Q$1, "Salary &gt; 85K", TRUE, "Salary Low")</f>
        <v>No Data</v>
      </c>
    </row>
    <row r="6" spans="1:18 16384:16384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t="b">
        <v>0</v>
      </c>
      <c r="J6" t="s">
        <v>80</v>
      </c>
      <c r="K6" t="str">
        <f t="shared" si="0"/>
        <v>NOT Desired</v>
      </c>
      <c r="L6" t="str">
        <f t="shared" si="1"/>
        <v>NOT Desired</v>
      </c>
      <c r="M6" t="str">
        <f t="shared" si="2"/>
        <v>NOT Desired</v>
      </c>
      <c r="N6" t="b">
        <f t="shared" si="3"/>
        <v>0</v>
      </c>
      <c r="O6" t="b">
        <f t="shared" si="4"/>
        <v>0</v>
      </c>
      <c r="P6" t="str">
        <f t="shared" si="5"/>
        <v>NOT Desired</v>
      </c>
      <c r="Q6" t="str">
        <f t="shared" si="6"/>
        <v>Salary Low</v>
      </c>
      <c r="R6" t="str" cm="1">
        <f t="array" ref="R6">_xlfn.IFS(H6="", "No Data", H6&gt;=$Q$1, "Salary &gt; 85K", TRUE, "Salary Low")</f>
        <v>No Data</v>
      </c>
    </row>
    <row r="7" spans="1:18 16384:16384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t="b">
        <v>0</v>
      </c>
      <c r="J7" t="s">
        <v>84</v>
      </c>
      <c r="K7" t="str">
        <f t="shared" si="0"/>
        <v>NOT Desired</v>
      </c>
      <c r="L7" t="str">
        <f t="shared" si="1"/>
        <v>NOT Desired</v>
      </c>
      <c r="M7" t="str">
        <f t="shared" si="2"/>
        <v>NOT Desired</v>
      </c>
      <c r="N7" t="b">
        <f t="shared" si="3"/>
        <v>0</v>
      </c>
      <c r="O7" t="b">
        <f t="shared" si="4"/>
        <v>0</v>
      </c>
      <c r="P7" t="str">
        <f t="shared" si="5"/>
        <v>NOT Desired</v>
      </c>
      <c r="Q7" t="str">
        <f t="shared" si="6"/>
        <v>Salary Low</v>
      </c>
      <c r="R7" t="str" cm="1">
        <f t="array" ref="R7">_xlfn.IFS(H7="", "No Data", H7&gt;=$Q$1, "Salary &gt; 85K", TRUE, "Salary Low")</f>
        <v>No Data</v>
      </c>
    </row>
    <row r="8" spans="1:18 16384:16384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t="b">
        <v>0</v>
      </c>
      <c r="J8" t="s">
        <v>87</v>
      </c>
      <c r="K8" t="str">
        <f t="shared" si="0"/>
        <v>Role Desired</v>
      </c>
      <c r="L8" t="str">
        <f t="shared" si="1"/>
        <v>NOT Desired</v>
      </c>
      <c r="M8" t="str">
        <f t="shared" si="2"/>
        <v>Role Desired</v>
      </c>
      <c r="N8" t="b">
        <f t="shared" si="3"/>
        <v>0</v>
      </c>
      <c r="O8" t="b">
        <f t="shared" si="4"/>
        <v>1</v>
      </c>
      <c r="P8" t="str">
        <f t="shared" si="5"/>
        <v>Role Desired</v>
      </c>
      <c r="Q8" t="str">
        <f t="shared" si="6"/>
        <v>Salary Low</v>
      </c>
      <c r="R8" t="str" cm="1">
        <f t="array" ref="R8">_xlfn.IFS(H8="", "No Data", H8&gt;=$Q$1, "Salary &gt; 85K", TRUE, "Salary Low")</f>
        <v>No Data</v>
      </c>
    </row>
    <row r="9" spans="1:18 16384:16384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t="b">
        <v>0</v>
      </c>
      <c r="J9" t="s">
        <v>91</v>
      </c>
      <c r="K9" t="str">
        <f t="shared" si="0"/>
        <v>Role Desired</v>
      </c>
      <c r="L9" t="str">
        <f t="shared" si="1"/>
        <v>NOT Desired</v>
      </c>
      <c r="M9" t="str">
        <f t="shared" si="2"/>
        <v>Role Desired</v>
      </c>
      <c r="N9" t="b">
        <f t="shared" si="3"/>
        <v>0</v>
      </c>
      <c r="O9" t="b">
        <f t="shared" si="4"/>
        <v>1</v>
      </c>
      <c r="P9" t="str">
        <f t="shared" si="5"/>
        <v>Role Desired</v>
      </c>
      <c r="Q9" t="str">
        <f t="shared" si="6"/>
        <v>Salary &gt; 85K</v>
      </c>
      <c r="R9" t="str" cm="1">
        <f t="array" ref="R9">_xlfn.IFS(H9="", "No Data", H9&gt;=$Q$1, "Salary &gt; 85K", TRUE, "Salary Low")</f>
        <v>Salary &gt; 85K</v>
      </c>
    </row>
    <row r="10" spans="1:18 16384:16384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t="b">
        <v>0</v>
      </c>
      <c r="J10" t="s">
        <v>94</v>
      </c>
      <c r="K10" t="str">
        <f t="shared" si="0"/>
        <v>Role Desired</v>
      </c>
      <c r="L10" t="str">
        <f t="shared" si="1"/>
        <v>NOT Desired</v>
      </c>
      <c r="M10" t="str">
        <f t="shared" si="2"/>
        <v>Role Desired</v>
      </c>
      <c r="N10" t="b">
        <f t="shared" si="3"/>
        <v>0</v>
      </c>
      <c r="O10" t="b">
        <f t="shared" si="4"/>
        <v>1</v>
      </c>
      <c r="P10" t="str">
        <f t="shared" si="5"/>
        <v>Role Desired</v>
      </c>
      <c r="Q10" t="str">
        <f t="shared" si="6"/>
        <v>Salary Low</v>
      </c>
      <c r="R10" t="str" cm="1">
        <f t="array" ref="R10">_xlfn.IFS(H10="", "No Data", H10&gt;=$Q$1, "Salary &gt; 85K", TRUE, "Salary Low")</f>
        <v>No Data</v>
      </c>
    </row>
    <row r="11" spans="1:18 16384:16384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t="b">
        <v>0</v>
      </c>
      <c r="J11" t="s">
        <v>98</v>
      </c>
      <c r="K11" t="str">
        <f t="shared" si="0"/>
        <v>Role Desired</v>
      </c>
      <c r="L11" t="str">
        <f t="shared" si="1"/>
        <v>NOT Desired</v>
      </c>
      <c r="M11" t="str">
        <f t="shared" si="2"/>
        <v>Role Desired</v>
      </c>
      <c r="N11" t="b">
        <f t="shared" si="3"/>
        <v>0</v>
      </c>
      <c r="O11" t="b">
        <f t="shared" si="4"/>
        <v>1</v>
      </c>
      <c r="P11" t="str">
        <f t="shared" si="5"/>
        <v>Role Desired</v>
      </c>
      <c r="Q11" t="str">
        <f t="shared" si="6"/>
        <v>Salary &gt; 85K</v>
      </c>
      <c r="R11" t="str" cm="1">
        <f t="array" ref="R11">_xlfn.IFS(H11="", "No Data", H11&gt;=$Q$1, "Salary &gt; 85K", TRUE, "Salary Low")</f>
        <v>Salary &gt; 85K</v>
      </c>
    </row>
    <row r="12" spans="1:18 16384:16384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t="b">
        <v>0</v>
      </c>
      <c r="J12" t="s">
        <v>101</v>
      </c>
      <c r="K12" t="str">
        <f t="shared" si="0"/>
        <v>NOT Desired</v>
      </c>
      <c r="L12" t="str">
        <f t="shared" si="1"/>
        <v>NOT Desired</v>
      </c>
      <c r="M12" t="str">
        <f t="shared" si="2"/>
        <v>NOT Desired</v>
      </c>
      <c r="N12" t="b">
        <f t="shared" si="3"/>
        <v>0</v>
      </c>
      <c r="O12" t="b">
        <f t="shared" si="4"/>
        <v>0</v>
      </c>
      <c r="P12" t="str">
        <f t="shared" si="5"/>
        <v>NOT Desired</v>
      </c>
      <c r="Q12" t="str">
        <f t="shared" si="6"/>
        <v>Salary &gt; 85K</v>
      </c>
      <c r="R12" t="str" cm="1">
        <f t="array" ref="R12">_xlfn.IFS(H12="", "No Data", H12&gt;=$Q$1, "Salary &gt; 85K", TRUE, "Salary Low")</f>
        <v>Salary &gt; 85K</v>
      </c>
    </row>
    <row r="13" spans="1:18 16384:16384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t="b">
        <v>0</v>
      </c>
      <c r="J13" t="s">
        <v>105</v>
      </c>
      <c r="K13" t="str">
        <f t="shared" si="0"/>
        <v>NOT Desired</v>
      </c>
      <c r="L13" t="str">
        <f t="shared" si="1"/>
        <v>NOT Desired</v>
      </c>
      <c r="M13" t="str">
        <f t="shared" si="2"/>
        <v>NOT Desired</v>
      </c>
      <c r="N13" t="b">
        <f t="shared" si="3"/>
        <v>0</v>
      </c>
      <c r="O13" t="b">
        <f t="shared" si="4"/>
        <v>0</v>
      </c>
      <c r="P13" t="str">
        <f t="shared" si="5"/>
        <v>NOT Desired</v>
      </c>
      <c r="Q13" t="str">
        <f t="shared" si="6"/>
        <v>Salary &gt; 85K</v>
      </c>
      <c r="R13" t="str" cm="1">
        <f t="array" ref="R13">_xlfn.IFS(H13="", "No Data", H13&gt;=$Q$1, "Salary &gt; 85K", TRUE, "Salary Low")</f>
        <v>Salary &gt; 85K</v>
      </c>
    </row>
    <row r="14" spans="1:18 16384:16384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t="b">
        <v>0</v>
      </c>
      <c r="J14" t="s">
        <v>109</v>
      </c>
      <c r="K14" t="str">
        <f t="shared" si="0"/>
        <v>NOT Desired</v>
      </c>
      <c r="L14" t="str">
        <f t="shared" si="1"/>
        <v>NOT Desired</v>
      </c>
      <c r="M14" t="str">
        <f t="shared" si="2"/>
        <v>NOT Desired</v>
      </c>
      <c r="N14" t="b">
        <f t="shared" si="3"/>
        <v>0</v>
      </c>
      <c r="O14" t="b">
        <f t="shared" si="4"/>
        <v>0</v>
      </c>
      <c r="P14" t="str">
        <f t="shared" si="5"/>
        <v>NOT Desired</v>
      </c>
      <c r="Q14" t="str">
        <f t="shared" si="6"/>
        <v>Salary &gt; 85K</v>
      </c>
      <c r="R14" t="str" cm="1">
        <f t="array" ref="R14">_xlfn.IFS(H14="", "No Data", H14&gt;=$Q$1, "Salary &gt; 85K", TRUE, "Salary Low")</f>
        <v>Salary &gt; 85K</v>
      </c>
    </row>
    <row r="15" spans="1:18 16384:16384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t="b">
        <v>0</v>
      </c>
      <c r="J15" t="s">
        <v>114</v>
      </c>
      <c r="K15" t="str">
        <f t="shared" si="0"/>
        <v>NOT Desired</v>
      </c>
      <c r="L15" t="str">
        <f t="shared" si="1"/>
        <v>NOT Desired</v>
      </c>
      <c r="M15" t="str">
        <f t="shared" si="2"/>
        <v>NOT Desired</v>
      </c>
      <c r="N15" t="b">
        <f t="shared" si="3"/>
        <v>0</v>
      </c>
      <c r="O15" t="b">
        <f t="shared" si="4"/>
        <v>0</v>
      </c>
      <c r="P15" t="str">
        <f t="shared" si="5"/>
        <v>NOT Desired</v>
      </c>
      <c r="Q15" t="str">
        <f t="shared" si="6"/>
        <v>Salary Low</v>
      </c>
      <c r="R15" t="str" cm="1">
        <f t="array" ref="R15">_xlfn.IFS(H15="", "No Data", H15&gt;=$Q$1, "Salary &gt; 85K", TRUE, "Salary Low")</f>
        <v>Salary Low</v>
      </c>
    </row>
    <row r="16" spans="1:18 16384:16384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t="b">
        <v>0</v>
      </c>
      <c r="J16" t="s">
        <v>118</v>
      </c>
      <c r="K16" t="str">
        <f t="shared" si="0"/>
        <v>NOT Desired</v>
      </c>
      <c r="L16" t="str">
        <f t="shared" si="1"/>
        <v>NOT Desired</v>
      </c>
      <c r="M16" t="str">
        <f t="shared" si="2"/>
        <v>NOT Desired</v>
      </c>
      <c r="N16" t="b">
        <f t="shared" si="3"/>
        <v>0</v>
      </c>
      <c r="O16" t="b">
        <f t="shared" si="4"/>
        <v>0</v>
      </c>
      <c r="P16" t="str">
        <f t="shared" si="5"/>
        <v>NOT Desired</v>
      </c>
      <c r="Q16" t="str">
        <f t="shared" si="6"/>
        <v>Salary &gt; 85K</v>
      </c>
      <c r="R16" t="str" cm="1">
        <f t="array" ref="R16">_xlfn.IFS(H16="", "No Data", H16&gt;=$Q$1, "Salary &gt; 85K", TRUE, "Salary Low")</f>
        <v>Salary &gt; 85K</v>
      </c>
    </row>
    <row r="17" spans="1:18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t="b">
        <v>0</v>
      </c>
      <c r="J17" t="s">
        <v>122</v>
      </c>
      <c r="K17" t="str">
        <f t="shared" si="0"/>
        <v>NOT Desired</v>
      </c>
      <c r="L17" t="str">
        <f t="shared" si="1"/>
        <v>NOT Desired</v>
      </c>
      <c r="M17" t="str">
        <f t="shared" si="2"/>
        <v>NOT Desired</v>
      </c>
      <c r="N17" t="b">
        <f t="shared" si="3"/>
        <v>0</v>
      </c>
      <c r="O17" t="b">
        <f t="shared" si="4"/>
        <v>0</v>
      </c>
      <c r="P17" t="str">
        <f t="shared" si="5"/>
        <v>NOT Desired</v>
      </c>
      <c r="Q17" t="str">
        <f t="shared" si="6"/>
        <v>Salary &gt; 85K</v>
      </c>
      <c r="R17" t="str" cm="1">
        <f t="array" ref="R17">_xlfn.IFS(H17="", "No Data", H17&gt;=$Q$1, "Salary &gt; 85K", TRUE, "Salary Low")</f>
        <v>Salary &gt; 85K</v>
      </c>
    </row>
    <row r="18" spans="1:18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t="b">
        <v>0</v>
      </c>
      <c r="J18" t="s">
        <v>126</v>
      </c>
      <c r="K18" t="str">
        <f t="shared" si="0"/>
        <v>NOT Desired</v>
      </c>
      <c r="L18" t="str">
        <f t="shared" si="1"/>
        <v>Role Desired</v>
      </c>
      <c r="M18" t="str">
        <f t="shared" si="2"/>
        <v>Role Desired</v>
      </c>
      <c r="N18" t="b">
        <f t="shared" si="3"/>
        <v>0</v>
      </c>
      <c r="O18" t="b">
        <f t="shared" si="4"/>
        <v>1</v>
      </c>
      <c r="P18" t="str">
        <f t="shared" si="5"/>
        <v>Role Desired</v>
      </c>
      <c r="Q18" t="str">
        <f t="shared" si="6"/>
        <v>Salary Low</v>
      </c>
      <c r="R18" t="str" cm="1">
        <f t="array" ref="R18">_xlfn.IFS(H18="", "No Data", H18&gt;=$Q$1, "Salary &gt; 85K", TRUE, "Salary Low")</f>
        <v>No Data</v>
      </c>
    </row>
    <row r="19" spans="1:18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t="b">
        <v>0</v>
      </c>
      <c r="J19" t="s">
        <v>129</v>
      </c>
      <c r="K19" t="str">
        <f t="shared" si="0"/>
        <v>NOT Desired</v>
      </c>
      <c r="L19" t="str">
        <f t="shared" si="1"/>
        <v>NOT Desired</v>
      </c>
      <c r="M19" t="str">
        <f t="shared" si="2"/>
        <v>NOT Desired</v>
      </c>
      <c r="N19" t="b">
        <f t="shared" si="3"/>
        <v>0</v>
      </c>
      <c r="O19" t="b">
        <f t="shared" si="4"/>
        <v>0</v>
      </c>
      <c r="P19" t="str">
        <f t="shared" si="5"/>
        <v>NOT Desired</v>
      </c>
      <c r="Q19" t="str">
        <f t="shared" si="6"/>
        <v>Salary &gt; 85K</v>
      </c>
      <c r="R19" t="str" cm="1">
        <f t="array" ref="R19">_xlfn.IFS(H19="", "No Data", H19&gt;=$Q$1, "Salary &gt; 85K", TRUE, "Salary Low")</f>
        <v>Salary &gt; 85K</v>
      </c>
    </row>
    <row r="20" spans="1:18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t="b">
        <v>1</v>
      </c>
      <c r="J20" t="s">
        <v>131</v>
      </c>
      <c r="K20" t="str">
        <f t="shared" si="0"/>
        <v>NOT Desired</v>
      </c>
      <c r="L20" t="str">
        <f t="shared" si="1"/>
        <v>NOT Desired</v>
      </c>
      <c r="M20" t="str">
        <f t="shared" si="2"/>
        <v>NOT Desired</v>
      </c>
      <c r="N20" t="b">
        <f t="shared" si="3"/>
        <v>0</v>
      </c>
      <c r="O20" t="b">
        <f t="shared" si="4"/>
        <v>0</v>
      </c>
      <c r="P20" t="str">
        <f t="shared" si="5"/>
        <v>NOT Desired</v>
      </c>
      <c r="Q20" t="str">
        <f t="shared" si="6"/>
        <v>Salary Low</v>
      </c>
      <c r="R20" t="str" cm="1">
        <f t="array" ref="R20">_xlfn.IFS(H20="", "No Data", H20&gt;=$Q$1, "Salary &gt; 85K", TRUE, "Salary Low")</f>
        <v>No Data</v>
      </c>
    </row>
    <row r="21" spans="1:18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t="b">
        <v>0</v>
      </c>
      <c r="J21" t="s">
        <v>135</v>
      </c>
      <c r="K21" t="str">
        <f t="shared" si="0"/>
        <v>NOT Desired</v>
      </c>
      <c r="L21" t="str">
        <f t="shared" si="1"/>
        <v>Role Desired</v>
      </c>
      <c r="M21" t="str">
        <f t="shared" si="2"/>
        <v>Role Desired</v>
      </c>
      <c r="N21" t="b">
        <f t="shared" si="3"/>
        <v>0</v>
      </c>
      <c r="O21" t="b">
        <f t="shared" si="4"/>
        <v>1</v>
      </c>
      <c r="P21" t="str">
        <f t="shared" si="5"/>
        <v>Role Desired</v>
      </c>
      <c r="Q21" t="str">
        <f t="shared" si="6"/>
        <v>Salary &gt; 85K</v>
      </c>
      <c r="R21" t="str" cm="1">
        <f t="array" ref="R21">_xlfn.IFS(H21="", "No Data", H21&gt;=$Q$1, "Salary &gt; 85K", TRUE, "Salary Low")</f>
        <v>Salary &gt; 85K</v>
      </c>
    </row>
  </sheetData>
  <autoFilter ref="A1:XFD1" xr:uid="{B4064259-8981-41EE-A951-64D7FCDC9F7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F9"/>
  <sheetViews>
    <sheetView showGridLines="0" workbookViewId="0">
      <selection activeCell="B3" sqref="B3"/>
    </sheetView>
  </sheetViews>
  <sheetFormatPr defaultRowHeight="14.25"/>
  <cols>
    <col min="1" max="1" width="6.625" customWidth="1"/>
    <col min="2" max="2" width="13.375" customWidth="1"/>
    <col min="3" max="3" width="31.375" bestFit="1" customWidth="1"/>
    <col min="4" max="4" width="60.375" bestFit="1" customWidth="1"/>
    <col min="5" max="5" width="19.625" bestFit="1" customWidth="1"/>
    <col min="6" max="6" width="17.625" bestFit="1" customWidth="1"/>
  </cols>
  <sheetData>
    <row r="2" spans="2:6" ht="15">
      <c r="B2" s="26" t="s">
        <v>28</v>
      </c>
      <c r="C2" s="26" t="s">
        <v>36</v>
      </c>
      <c r="D2" s="26" t="s">
        <v>29</v>
      </c>
      <c r="E2" s="44" t="s">
        <v>139</v>
      </c>
      <c r="F2" s="44" t="s">
        <v>140</v>
      </c>
    </row>
    <row r="3" spans="2:6">
      <c r="B3" s="27" t="e">
        <f>1/0</f>
        <v>#DIV/0!</v>
      </c>
      <c r="C3" s="28" t="s">
        <v>37</v>
      </c>
      <c r="D3" s="27" t="s">
        <v>30</v>
      </c>
      <c r="E3" s="27" t="str">
        <f>IFERROR(B3, "This text hides the error")</f>
        <v>This text hides the error</v>
      </c>
      <c r="F3" s="27" t="e">
        <f>_xlfn.IFNA(B3, "This hides #N/A error")</f>
        <v>#DIV/0!</v>
      </c>
    </row>
    <row r="4" spans="2:6">
      <c r="B4" s="27" t="e">
        <f>A4 + "text"</f>
        <v>#VALUE!</v>
      </c>
      <c r="C4" s="28" t="s">
        <v>38</v>
      </c>
      <c r="D4" s="27" t="s">
        <v>31</v>
      </c>
      <c r="E4" s="27" t="str">
        <f t="shared" ref="E4:E9" si="0">IFERROR(B4, "This text hides the error")</f>
        <v>This text hides the error</v>
      </c>
      <c r="F4" s="27" t="e">
        <f t="shared" ref="F4:F9" si="1">_xlfn.IFNA(B4, "This hides #N/A error")</f>
        <v>#VALUE!</v>
      </c>
    </row>
    <row r="5" spans="2:6">
      <c r="B5" s="12" t="e">
        <f>#REF!</f>
        <v>#REF!</v>
      </c>
      <c r="C5" s="28" t="s">
        <v>39</v>
      </c>
      <c r="D5" s="27" t="s">
        <v>44</v>
      </c>
      <c r="E5" s="27" t="str">
        <f t="shared" si="0"/>
        <v>This text hides the error</v>
      </c>
      <c r="F5" s="27" t="e">
        <f t="shared" si="1"/>
        <v>#REF!</v>
      </c>
    </row>
    <row r="6" spans="2:6">
      <c r="B6" s="12" t="e" cm="1">
        <f t="array" aca="1" ref="B6" ca="1">COUNTT(A3:A9)</f>
        <v>#NAME?</v>
      </c>
      <c r="C6" s="28" t="s">
        <v>43</v>
      </c>
      <c r="D6" s="27" t="s">
        <v>32</v>
      </c>
      <c r="E6" s="27" t="str">
        <f t="shared" ca="1" si="0"/>
        <v>This text hides the error</v>
      </c>
      <c r="F6" s="27" t="e">
        <f t="shared" ca="1" si="1"/>
        <v>#NAME?</v>
      </c>
    </row>
    <row r="7" spans="2:6">
      <c r="B7" s="27" t="e">
        <f>VLOOKUP("Value", A1:A10, 2, FALSE)</f>
        <v>#N/A</v>
      </c>
      <c r="C7" s="28" t="s">
        <v>42</v>
      </c>
      <c r="D7" s="27" t="s">
        <v>33</v>
      </c>
      <c r="E7" s="27" t="str">
        <f t="shared" si="0"/>
        <v>This text hides the error</v>
      </c>
      <c r="F7" s="27" t="str">
        <f t="shared" si="1"/>
        <v>This hides #N/A error</v>
      </c>
    </row>
    <row r="8" spans="2:6">
      <c r="B8" s="27" t="e">
        <f>SQRT(-1)</f>
        <v>#NUM!</v>
      </c>
      <c r="C8" s="28" t="s">
        <v>40</v>
      </c>
      <c r="D8" s="27" t="s">
        <v>34</v>
      </c>
      <c r="E8" s="27" t="str">
        <f t="shared" si="0"/>
        <v>This text hides the error</v>
      </c>
      <c r="F8" s="27" t="e">
        <f t="shared" si="1"/>
        <v>#NUM!</v>
      </c>
    </row>
    <row r="9" spans="2:6">
      <c r="B9" s="27" t="e">
        <f>SUM(A1:A10 C1:C10)</f>
        <v>#NULL!</v>
      </c>
      <c r="C9" s="28" t="s">
        <v>41</v>
      </c>
      <c r="D9" s="27" t="s">
        <v>35</v>
      </c>
      <c r="E9" s="27" t="str">
        <f t="shared" si="0"/>
        <v>This text hides the error</v>
      </c>
      <c r="F9" s="27" t="e">
        <f t="shared" si="1"/>
        <v>#NULL!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CC08-3BAC-45FD-A105-07186D54808A}">
  <dimension ref="B1:E6"/>
  <sheetViews>
    <sheetView showGridLines="0" workbookViewId="0">
      <selection activeCell="E2" sqref="D2:E2"/>
    </sheetView>
  </sheetViews>
  <sheetFormatPr defaultRowHeight="14.25"/>
  <cols>
    <col min="2" max="2" width="9.875" bestFit="1" customWidth="1"/>
    <col min="3" max="3" width="10.625" customWidth="1"/>
  </cols>
  <sheetData>
    <row r="1" spans="2:5" ht="15" thickBot="1"/>
    <row r="2" spans="2:5" ht="15">
      <c r="B2" s="36" t="s">
        <v>137</v>
      </c>
      <c r="C2" s="37" t="s">
        <v>138</v>
      </c>
      <c r="D2" s="45" t="s">
        <v>141</v>
      </c>
      <c r="E2" s="45" t="s">
        <v>142</v>
      </c>
    </row>
    <row r="3" spans="2:5">
      <c r="B3" s="38" t="b">
        <v>1</v>
      </c>
      <c r="C3" s="39" t="b">
        <v>1</v>
      </c>
      <c r="D3" s="42" t="b">
        <f>AND(B3,C3)</f>
        <v>1</v>
      </c>
      <c r="E3" s="42" t="b">
        <f>OR(B3,C3)</f>
        <v>1</v>
      </c>
    </row>
    <row r="4" spans="2:5">
      <c r="B4" s="38" t="b">
        <v>1</v>
      </c>
      <c r="C4" s="39" t="b">
        <v>0</v>
      </c>
      <c r="D4" s="42" t="b">
        <f t="shared" ref="D4:D6" si="0">AND(B4,C4)</f>
        <v>0</v>
      </c>
      <c r="E4" s="42" t="b">
        <f t="shared" ref="E4:E6" si="1">OR(B4,C4)</f>
        <v>1</v>
      </c>
    </row>
    <row r="5" spans="2:5">
      <c r="B5" s="38" t="b">
        <v>0</v>
      </c>
      <c r="C5" s="39" t="b">
        <v>1</v>
      </c>
      <c r="D5" s="42" t="b">
        <f t="shared" si="0"/>
        <v>0</v>
      </c>
      <c r="E5" s="42" t="b">
        <f t="shared" si="1"/>
        <v>1</v>
      </c>
    </row>
    <row r="6" spans="2:5" ht="15" thickBot="1">
      <c r="B6" s="40" t="b">
        <v>0</v>
      </c>
      <c r="C6" s="41" t="b">
        <v>0</v>
      </c>
      <c r="D6" s="43" t="b">
        <f t="shared" si="0"/>
        <v>0</v>
      </c>
      <c r="E6" s="43" t="b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Data_1</vt:lpstr>
      <vt:lpstr>Final_1</vt:lpstr>
      <vt:lpstr>Data_2</vt:lpstr>
      <vt:lpstr>Final_2</vt:lpstr>
      <vt:lpstr>Errors</vt:lpstr>
      <vt:lpstr>And-Or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USER</cp:lastModifiedBy>
  <dcterms:created xsi:type="dcterms:W3CDTF">2024-07-16T20:11:02Z</dcterms:created>
  <dcterms:modified xsi:type="dcterms:W3CDTF">2025-11-09T14:01:11Z</dcterms:modified>
</cp:coreProperties>
</file>